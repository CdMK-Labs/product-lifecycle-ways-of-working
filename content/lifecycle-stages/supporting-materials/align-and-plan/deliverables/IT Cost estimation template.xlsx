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customProperty2.bin" ContentType="application/vnd.openxmlformats-officedocument.spreadsheetml.customProperty"/>
  <Override PartName="/xl/drawings/drawing2.xml" ContentType="application/vnd.openxmlformats-officedocument.drawing+xml"/>
  <Override PartName="/xl/comments1.xml" ContentType="application/vnd.openxmlformats-officedocument.spreadsheetml.comments+xml"/>
  <Override PartName="/xl/customProperty3.bin" ContentType="application/vnd.openxmlformats-officedocument.spreadsheetml.customProperty"/>
  <Override PartName="/xl/drawings/drawing3.xml" ContentType="application/vnd.openxmlformats-officedocument.drawing+xml"/>
  <Override PartName="/xl/customProperty4.bin" ContentType="application/vnd.openxmlformats-officedocument.spreadsheetml.customProperty"/>
  <Override PartName="/xl/drawings/drawing4.xml" ContentType="application/vnd.openxmlformats-officedocument.drawing+xml"/>
  <Override PartName="/xl/customProperty5.bin" ContentType="application/vnd.openxmlformats-officedocument.spreadsheetml.customProperty"/>
  <Override PartName="/xl/drawings/drawing5.xml" ContentType="application/vnd.openxmlformats-officedocument.drawing+xml"/>
  <Override PartName="/xl/customProperty6.bin" ContentType="application/vnd.openxmlformats-officedocument.spreadsheetml.customProperty"/>
  <Override PartName="/xl/drawings/drawing6.xml" ContentType="application/vnd.openxmlformats-officedocument.drawing+xml"/>
  <Override PartName="/xl/customProperty7.bin" ContentType="application/vnd.openxmlformats-officedocument.spreadsheetml.customProperty"/>
  <Override PartName="/xl/drawings/drawing7.xml" ContentType="application/vnd.openxmlformats-officedocument.drawing+xml"/>
  <Override PartName="/xl/customProperty8.bin" ContentType="application/vnd.openxmlformats-officedocument.spreadsheetml.customProperty"/>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23"/>
  <workbookPr codeName="ThisWorkbook" defaultThemeVersion="124226"/>
  <mc:AlternateContent xmlns:mc="http://schemas.openxmlformats.org/markup-compatibility/2006">
    <mc:Choice Requires="x15">
      <x15ac:absPath xmlns:x15ac="http://schemas.microsoft.com/office/spreadsheetml/2010/11/ac" url="https://arlafoods.sharepoint.com/sites/This-is-IT/Shared Documents/IT Solutions/"/>
    </mc:Choice>
  </mc:AlternateContent>
  <xr:revisionPtr revIDLastSave="1903" documentId="8_{4B19BC10-6AB7-4D31-92E7-FAB1C48720DA}" xr6:coauthVersionLast="47" xr6:coauthVersionMax="47" xr10:uidLastSave="{B1314066-F338-4C72-A315-C9983B26C0CD}"/>
  <bookViews>
    <workbookView minimized="1" xWindow="0" yWindow="4455" windowWidth="14400" windowHeight="8175" tabRatio="865" firstSheet="1" activeTab="1" xr2:uid="{00000000-000D-0000-FFFF-FFFF00000000}"/>
  </bookViews>
  <sheets>
    <sheet name="Frontpage" sheetId="14" r:id="rId1"/>
    <sheet name="#1 Resource Estimates" sheetId="4" r:id="rId2"/>
    <sheet name="#2 Resource Cost Assumptions" sheetId="6" r:id="rId3"/>
    <sheet name="#3 IT Services (OPS) cost" sheetId="15" r:id="rId4"/>
    <sheet name="#6 CAPEXInsights" sheetId="11" r:id="rId5"/>
    <sheet name="#4 Other Costs" sheetId="9" r:id="rId6"/>
    <sheet name="#5 Cost Overview" sheetId="10" r:id="rId7"/>
    <sheet name="Optional! SAP&amp;FTE driven cost " sheetId="16"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6" l="1"/>
  <c r="C14" i="6" l="1"/>
  <c r="G12" i="15"/>
  <c r="F9" i="11"/>
  <c r="G9" i="11"/>
  <c r="H9" i="11"/>
  <c r="D7" i="11"/>
  <c r="E7" i="11" s="1"/>
  <c r="F7" i="11" s="1"/>
  <c r="G7" i="11" s="1"/>
  <c r="H7" i="11" s="1"/>
  <c r="F19" i="11"/>
  <c r="G19" i="11"/>
  <c r="H19" i="11"/>
  <c r="D15" i="11"/>
  <c r="E15" i="11" s="1"/>
  <c r="F15" i="11" s="1"/>
  <c r="G15" i="11" s="1"/>
  <c r="H15" i="11" s="1"/>
  <c r="E26" i="10"/>
  <c r="F26" i="10"/>
  <c r="G26" i="10"/>
  <c r="H26" i="10"/>
  <c r="G25" i="15"/>
  <c r="H12" i="15"/>
  <c r="I12" i="15" s="1"/>
  <c r="C26" i="9"/>
  <c r="G29" i="15"/>
  <c r="G32" i="15" s="1"/>
  <c r="D30" i="10" s="1"/>
  <c r="D4" i="10" s="1"/>
  <c r="G22" i="15"/>
  <c r="G31" i="15" s="1"/>
  <c r="C25" i="10" s="1"/>
  <c r="D18" i="10"/>
  <c r="E18" i="10"/>
  <c r="F18" i="10"/>
  <c r="G18" i="10"/>
  <c r="H18" i="10"/>
  <c r="C18" i="10"/>
  <c r="D14" i="10"/>
  <c r="E14" i="10"/>
  <c r="E10" i="11" s="1"/>
  <c r="F14" i="10"/>
  <c r="F10" i="11" s="1"/>
  <c r="G14" i="10"/>
  <c r="G8" i="11" s="1"/>
  <c r="H14" i="10"/>
  <c r="H3" i="10" s="1"/>
  <c r="C22" i="10"/>
  <c r="I22" i="10" s="1"/>
  <c r="C23" i="10"/>
  <c r="I23" i="10" s="1"/>
  <c r="C24" i="10"/>
  <c r="I24" i="10" s="1"/>
  <c r="C21" i="10"/>
  <c r="I21" i="10" s="1"/>
  <c r="I29" i="15"/>
  <c r="J29" i="15"/>
  <c r="K29" i="15"/>
  <c r="H29" i="15"/>
  <c r="I22" i="15"/>
  <c r="I32" i="15" s="1"/>
  <c r="F30" i="10" s="1"/>
  <c r="F4" i="10" s="1"/>
  <c r="J22" i="15"/>
  <c r="J32" i="15" s="1"/>
  <c r="G30" i="10" s="1"/>
  <c r="K22" i="15"/>
  <c r="H22" i="15"/>
  <c r="D29" i="10"/>
  <c r="E29" i="10" s="1"/>
  <c r="F29" i="10" s="1"/>
  <c r="G29" i="10" s="1"/>
  <c r="H29" i="10" s="1"/>
  <c r="D20" i="10"/>
  <c r="E20" i="10" s="1"/>
  <c r="F20" i="10" s="1"/>
  <c r="G20" i="10" s="1"/>
  <c r="H20" i="10" s="1"/>
  <c r="D16" i="10"/>
  <c r="E16" i="10" s="1"/>
  <c r="F16" i="10" s="1"/>
  <c r="G16" i="10" s="1"/>
  <c r="H16" i="10" s="1"/>
  <c r="D10" i="10"/>
  <c r="E10" i="10" s="1"/>
  <c r="F10" i="10" s="1"/>
  <c r="G10" i="10" s="1"/>
  <c r="H10" i="10" s="1"/>
  <c r="D2" i="10"/>
  <c r="E2" i="10" s="1"/>
  <c r="F2" i="10" s="1"/>
  <c r="G2" i="10" s="1"/>
  <c r="H2" i="10" s="1"/>
  <c r="E9" i="11"/>
  <c r="E19" i="11"/>
  <c r="D9" i="11"/>
  <c r="C9" i="11"/>
  <c r="D19" i="11"/>
  <c r="H18" i="11"/>
  <c r="H10" i="11"/>
  <c r="F4" i="15"/>
  <c r="J17" i="10"/>
  <c r="F3" i="15"/>
  <c r="B7" i="6"/>
  <c r="B23" i="6" s="1"/>
  <c r="I17" i="10"/>
  <c r="E49" i="16"/>
  <c r="F49" i="16"/>
  <c r="E46" i="16"/>
  <c r="E16" i="16"/>
  <c r="F46" i="16"/>
  <c r="E43" i="16"/>
  <c r="E17" i="16"/>
  <c r="E40" i="16"/>
  <c r="E37" i="16"/>
  <c r="E32" i="16"/>
  <c r="F32" i="16"/>
  <c r="D27" i="16"/>
  <c r="E27" i="16"/>
  <c r="D26" i="16"/>
  <c r="E26" i="16"/>
  <c r="E28" i="16"/>
  <c r="E22" i="16"/>
  <c r="E21" i="16"/>
  <c r="E20" i="16"/>
  <c r="E23" i="16"/>
  <c r="F30" i="4"/>
  <c r="F44" i="4" s="1"/>
  <c r="E30" i="4"/>
  <c r="E44" i="4" s="1"/>
  <c r="G30" i="4"/>
  <c r="G44" i="4" s="1"/>
  <c r="I5" i="4"/>
  <c r="I6" i="4"/>
  <c r="I7" i="4"/>
  <c r="I8" i="4"/>
  <c r="I9" i="4"/>
  <c r="I10" i="4"/>
  <c r="I11" i="4"/>
  <c r="I12" i="4"/>
  <c r="I13" i="4"/>
  <c r="I14" i="4"/>
  <c r="I15" i="4"/>
  <c r="I16" i="4"/>
  <c r="I17" i="4"/>
  <c r="I18" i="4"/>
  <c r="I19" i="4"/>
  <c r="I20" i="4"/>
  <c r="I21" i="4"/>
  <c r="I22" i="4"/>
  <c r="I23" i="4"/>
  <c r="I24" i="4"/>
  <c r="I25" i="4"/>
  <c r="I26" i="4"/>
  <c r="I27" i="4"/>
  <c r="I28" i="4"/>
  <c r="I29" i="4"/>
  <c r="I32" i="4"/>
  <c r="I33" i="4"/>
  <c r="I34" i="4"/>
  <c r="I35" i="4"/>
  <c r="I36" i="4"/>
  <c r="I37" i="4"/>
  <c r="I38" i="4"/>
  <c r="I39" i="4"/>
  <c r="I40" i="4"/>
  <c r="I41" i="4"/>
  <c r="I42" i="4"/>
  <c r="K42" i="4" s="1"/>
  <c r="I43" i="4"/>
  <c r="H5" i="4"/>
  <c r="H6" i="4"/>
  <c r="H7" i="4"/>
  <c r="H8" i="4"/>
  <c r="H9" i="4"/>
  <c r="H10" i="4"/>
  <c r="H11" i="4"/>
  <c r="H12" i="4"/>
  <c r="H13" i="4"/>
  <c r="J13" i="4" s="1"/>
  <c r="H14" i="4"/>
  <c r="J14" i="4" s="1"/>
  <c r="H15" i="4"/>
  <c r="H16" i="4"/>
  <c r="H17" i="4"/>
  <c r="H18" i="4"/>
  <c r="J18" i="4" s="1"/>
  <c r="H19" i="4"/>
  <c r="H20" i="4"/>
  <c r="H21" i="4"/>
  <c r="H22" i="4"/>
  <c r="H23" i="4"/>
  <c r="H24" i="4"/>
  <c r="K24" i="4" s="1"/>
  <c r="H25" i="4"/>
  <c r="J25" i="4" s="1"/>
  <c r="H26" i="4"/>
  <c r="J26" i="4" s="1"/>
  <c r="H27" i="4"/>
  <c r="H28" i="4"/>
  <c r="H29" i="4"/>
  <c r="H32" i="4"/>
  <c r="H33" i="4"/>
  <c r="H34" i="4"/>
  <c r="J34" i="4" s="1"/>
  <c r="H35" i="4"/>
  <c r="H36" i="4"/>
  <c r="J36" i="4" s="1"/>
  <c r="H37" i="4"/>
  <c r="J37" i="4" s="1"/>
  <c r="K37" i="4"/>
  <c r="H38" i="4"/>
  <c r="K38" i="4" s="1"/>
  <c r="H39" i="4"/>
  <c r="K39" i="4" s="1"/>
  <c r="H40" i="4"/>
  <c r="H41" i="4"/>
  <c r="H42" i="4"/>
  <c r="H43" i="4"/>
  <c r="C48" i="4"/>
  <c r="D33" i="4"/>
  <c r="E33" i="16"/>
  <c r="F33" i="16"/>
  <c r="K34" i="4"/>
  <c r="E34" i="16"/>
  <c r="F34" i="16"/>
  <c r="I18" i="10"/>
  <c r="J18" i="10"/>
  <c r="H25" i="15" l="1"/>
  <c r="K23" i="4"/>
  <c r="K11" i="4"/>
  <c r="J35" i="4"/>
  <c r="K22" i="4"/>
  <c r="K20" i="4"/>
  <c r="K27" i="4"/>
  <c r="K19" i="4"/>
  <c r="K7" i="4"/>
  <c r="J23" i="4"/>
  <c r="K35" i="4"/>
  <c r="J21" i="4"/>
  <c r="K10" i="4"/>
  <c r="K26" i="4"/>
  <c r="K12" i="4"/>
  <c r="J9" i="4"/>
  <c r="J33" i="4"/>
  <c r="J20" i="4"/>
  <c r="K8" i="4"/>
  <c r="J41" i="4"/>
  <c r="J28" i="4"/>
  <c r="K16" i="4"/>
  <c r="J40" i="4"/>
  <c r="J27" i="4"/>
  <c r="J15" i="4"/>
  <c r="J29" i="4"/>
  <c r="K18" i="4"/>
  <c r="K6" i="4"/>
  <c r="K41" i="4"/>
  <c r="J39" i="4"/>
  <c r="K28" i="4"/>
  <c r="J24" i="4"/>
  <c r="K21" i="4"/>
  <c r="K40" i="4"/>
  <c r="J19" i="4"/>
  <c r="J7" i="4"/>
  <c r="K14" i="4"/>
  <c r="K15" i="4"/>
  <c r="J12" i="4"/>
  <c r="J43" i="4"/>
  <c r="J42" i="4"/>
  <c r="J38" i="4"/>
  <c r="K33" i="4"/>
  <c r="K29" i="4"/>
  <c r="J11" i="4"/>
  <c r="K36" i="4"/>
  <c r="K9" i="4"/>
  <c r="K25" i="4"/>
  <c r="J16" i="4"/>
  <c r="K13" i="4"/>
  <c r="J22" i="4"/>
  <c r="J17" i="4"/>
  <c r="K43" i="4"/>
  <c r="K32" i="15"/>
  <c r="H30" i="10" s="1"/>
  <c r="H17" i="11" s="1"/>
  <c r="H32" i="15"/>
  <c r="E30" i="10" s="1"/>
  <c r="E4" i="10" s="1"/>
  <c r="H16" i="11"/>
  <c r="G10" i="11"/>
  <c r="G3" i="10"/>
  <c r="G18" i="11"/>
  <c r="H8" i="11"/>
  <c r="G16" i="11"/>
  <c r="F3" i="10"/>
  <c r="F5" i="10" s="1"/>
  <c r="F8" i="11"/>
  <c r="F18" i="11"/>
  <c r="F16" i="11"/>
  <c r="E18" i="11"/>
  <c r="E3" i="10"/>
  <c r="E8" i="11"/>
  <c r="K32" i="4"/>
  <c r="J32" i="4"/>
  <c r="J6" i="4"/>
  <c r="J12" i="15"/>
  <c r="K12" i="15" s="1"/>
  <c r="K25" i="15" s="1"/>
  <c r="I25" i="15"/>
  <c r="E16" i="11"/>
  <c r="J22" i="10"/>
  <c r="J21" i="10"/>
  <c r="J24" i="10"/>
  <c r="J23" i="10"/>
  <c r="G4" i="10"/>
  <c r="G5" i="10" s="1"/>
  <c r="G17" i="11"/>
  <c r="J5" i="4"/>
  <c r="K5" i="4"/>
  <c r="D25" i="10"/>
  <c r="D26" i="10" s="1"/>
  <c r="D8" i="11" s="1"/>
  <c r="C26" i="10"/>
  <c r="J10" i="4"/>
  <c r="J8" i="4"/>
  <c r="D17" i="11"/>
  <c r="F17" i="11"/>
  <c r="H44" i="4"/>
  <c r="D45" i="4"/>
  <c r="F45" i="4" s="1"/>
  <c r="F46" i="4" s="1"/>
  <c r="B51" i="4" s="1"/>
  <c r="B12" i="10" s="1"/>
  <c r="C12" i="10" s="1"/>
  <c r="I44" i="4"/>
  <c r="K17" i="4"/>
  <c r="J25" i="10" l="1"/>
  <c r="E17" i="11"/>
  <c r="H4" i="10"/>
  <c r="H5" i="10" s="1"/>
  <c r="E5" i="10"/>
  <c r="C8" i="11"/>
  <c r="J25" i="15"/>
  <c r="I25" i="10"/>
  <c r="E45" i="4"/>
  <c r="E46" i="4" s="1"/>
  <c r="J44" i="4"/>
  <c r="G45" i="4"/>
  <c r="D16" i="11"/>
  <c r="D3" i="10"/>
  <c r="D5" i="10" s="1"/>
  <c r="J26" i="10"/>
  <c r="D10" i="11"/>
  <c r="C10" i="11" s="1"/>
  <c r="I26" i="10"/>
  <c r="D18" i="11"/>
  <c r="K44" i="4"/>
  <c r="B11" i="10"/>
  <c r="C11" i="10" s="1"/>
  <c r="H46" i="4"/>
  <c r="C4" i="10" l="1"/>
  <c r="H45" i="4"/>
  <c r="G46" i="4"/>
  <c r="I45" i="4"/>
  <c r="I11" i="10"/>
  <c r="J11" i="10"/>
  <c r="I12" i="10"/>
  <c r="J12" i="10"/>
  <c r="I46" i="4"/>
  <c r="J45" i="4" l="1"/>
  <c r="K45" i="4"/>
  <c r="J46" i="4"/>
  <c r="L46" i="4"/>
  <c r="K46" i="4"/>
  <c r="B52" i="4" l="1"/>
  <c r="B13" i="10" s="1"/>
  <c r="C13" i="10" s="1"/>
  <c r="B14" i="10" l="1"/>
  <c r="I13" i="10"/>
  <c r="C14" i="10"/>
  <c r="C8" i="10" s="1"/>
  <c r="J13" i="10"/>
  <c r="I14" i="10" l="1"/>
  <c r="J14" i="10"/>
  <c r="C3" i="10"/>
  <c r="C5" i="10" l="1"/>
  <c r="I3" i="10"/>
  <c r="O13"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Maja Malling Jakobsen</author>
    <author>Ida Marie Blume Schmidt</author>
  </authors>
  <commentList>
    <comment ref="A4" authorId="0" shapeId="0" xr:uid="{2102CF24-6423-4544-A976-64F76DB71D14}">
      <text>
        <r>
          <rPr>
            <sz val="9"/>
            <color indexed="81"/>
            <rFont val="Tahoma"/>
            <family val="2"/>
          </rPr>
          <t xml:space="preserve">Covers e.g.:
Development activities: configuration, ABAB development, SW develoment, sunsetting, migration of data, master data, design documents - blueprints etc. 
Analysis: pre analysis, elaboration of requirements etc...
Release and deploy: Storing of final documentation, transportations, go live etc.
</t>
        </r>
      </text>
    </comment>
    <comment ref="A32" authorId="1" shapeId="0" xr:uid="{F0459517-9313-4D17-A7AE-466EF8A00682}">
      <text>
        <r>
          <rPr>
            <sz val="8"/>
            <color indexed="81"/>
            <rFont val="Tahoma"/>
            <family val="2"/>
          </rPr>
          <t>This involves planning, executing, and monitoring testing activities to ensure that a software product meets the required quality standards. It includes defining the scope of testing, creating test plans, managing test cases, and tracking defects.</t>
        </r>
      </text>
    </comment>
    <comment ref="A34" authorId="1" shapeId="0" xr:uid="{AC79DAF3-3ADA-48BF-8803-A158B62130C3}">
      <text>
        <r>
          <rPr>
            <sz val="8"/>
            <color indexed="81"/>
            <rFont val="Tahoma"/>
            <family val="2"/>
          </rPr>
          <t xml:space="preserve">This refers to the process of transitioning from an old system to a new one. It involves estimation and planning of the time required for data migration, and tools for monitoring and ensuring minimal disruption during the switch from the old to the new system.
</t>
        </r>
        <r>
          <rPr>
            <sz val="9"/>
            <color indexed="81"/>
            <rFont val="Tahoma"/>
            <family val="2"/>
          </rPr>
          <t xml:space="preserve">
</t>
        </r>
      </text>
    </comment>
    <comment ref="A36" authorId="1" shapeId="0" xr:uid="{19105471-9AE2-48FB-A8F0-B98C102891DE}">
      <text>
        <r>
          <rPr>
            <sz val="8"/>
            <color indexed="81"/>
            <rFont val="Tahoma"/>
            <family val="2"/>
          </rPr>
          <t xml:space="preserve">This is the phase immediately following the go-live of a new system where enhanced support is provided to address any issues that arise. The focus is on stabilizing the system and ensuring that it operates as expected.
</t>
        </r>
        <r>
          <rPr>
            <sz val="9"/>
            <color indexed="81"/>
            <rFont val="Tahoma"/>
            <family val="2"/>
          </rPr>
          <t xml:space="preserve">
</t>
        </r>
      </text>
    </comment>
    <comment ref="A38" authorId="1" shapeId="0" xr:uid="{9B9B18A5-41DF-4E4C-AFEC-97DB6E4F6DA4}">
      <text>
        <r>
          <rPr>
            <sz val="8"/>
            <color indexed="81"/>
            <rFont val="Tahoma"/>
            <family val="2"/>
          </rPr>
          <t>Identifying change management specialists, the time required for training and communication activities, and tools for tracking change adoption and feedback.</t>
        </r>
      </text>
    </comment>
    <comment ref="A40" authorId="1" shapeId="0" xr:uid="{3421EE9C-5F42-4348-864E-92CA1D8A7B5E}">
      <text>
        <r>
          <rPr>
            <sz val="8"/>
            <color indexed="81"/>
            <rFont val="Tahoma"/>
            <family val="2"/>
          </rPr>
          <t>UX involves planning for UX designers and researchers, the time needed for user testing and feedback sessions, and tools for prototyping and usability testing.</t>
        </r>
        <r>
          <rPr>
            <sz val="9"/>
            <color indexed="81"/>
            <rFont val="Tahoma"/>
            <family val="2"/>
          </rPr>
          <t xml:space="preserve">
</t>
        </r>
      </text>
    </comment>
    <comment ref="A42" authorId="1" shapeId="0" xr:uid="{E4F63EA9-0B1C-446B-A9ED-03688375C35B}">
      <text>
        <r>
          <rPr>
            <sz val="8"/>
            <color indexed="81"/>
            <rFont val="Tahoma"/>
            <family val="2"/>
          </rPr>
          <t xml:space="preserve">This involves evaluating data to determine its quality (from the dimensions of accuracy, completeness, consistency, timeliness, and reliability) needed to deliver the solution and the epic. Based on the evaluation, plan and prioritize activities for data correction. Secondly support to the Zone/Function in establishing the correct data governance. This includes defining data ownership, policies, and procedures to maintain data quality standards. 
What is estimated here is the IT cost linked to the above activities - most will be placed in Z/F. </t>
        </r>
        <r>
          <rPr>
            <sz val="9"/>
            <color indexed="81"/>
            <rFont val="Tahoma"/>
            <family val="2"/>
          </rPr>
          <t xml:space="preserve">
</t>
        </r>
      </text>
    </comment>
    <comment ref="A44" authorId="1" shapeId="0" xr:uid="{CCA97EBB-D36C-4C71-85E6-E2D80F0E97AE}">
      <text>
        <r>
          <rPr>
            <sz val="8"/>
            <color indexed="81"/>
            <rFont val="Tahoma"/>
            <family val="2"/>
          </rPr>
          <t xml:space="preserve">PI-planning, Scrum of Scrum ect.
</t>
        </r>
      </text>
    </comment>
    <comment ref="A45" authorId="1" shapeId="0" xr:uid="{0AC589B5-E047-4FDC-889B-EEC2B867F5C2}">
      <text>
        <r>
          <rPr>
            <sz val="8"/>
            <color indexed="81"/>
            <rFont val="Tahoma"/>
            <family val="2"/>
          </rPr>
          <t xml:space="preserve">The SIM process ensures that​ the Epic is handed over to OPS in the best way. It ensures all aspects of the service are prepared for operational use, such as training, documentation, and support structures.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Henrik Albinus</author>
  </authors>
  <commentList>
    <comment ref="B27" authorId="0" shapeId="0" xr:uid="{F5E5B83E-FD0A-4847-A306-E70163534B20}">
      <text>
        <r>
          <rPr>
            <b/>
            <sz val="9"/>
            <color indexed="81"/>
            <rFont val="Tahoma"/>
            <family val="2"/>
          </rPr>
          <t>Henrik Albinus:</t>
        </r>
        <r>
          <rPr>
            <sz val="9"/>
            <color indexed="81"/>
            <rFont val="Tahoma"/>
            <family val="2"/>
          </rPr>
          <t xml:space="preserve">
HW cost not included + only SW licenses
</t>
        </r>
      </text>
    </comment>
  </commentList>
</comments>
</file>

<file path=xl/sharedStrings.xml><?xml version="1.0" encoding="utf-8"?>
<sst xmlns="http://schemas.openxmlformats.org/spreadsheetml/2006/main" count="427" uniqueCount="276">
  <si>
    <t>DO NOT EDIT THIS TEMPLATE - CREATE A LOCAL COPY TO UPDATE!</t>
  </si>
  <si>
    <t>Welcome!</t>
  </si>
  <si>
    <t>This is the IT Cost estimation template.</t>
  </si>
  <si>
    <t>Please first select the investment year in cell A19 (the first year of the project)</t>
  </si>
  <si>
    <t>Please fill out each sheet in the bottom starting from the right at #1.</t>
  </si>
  <si>
    <r>
      <t xml:space="preserve">Once all sheets from 1-5 are filled out, #6 will </t>
    </r>
    <r>
      <rPr>
        <b/>
        <sz val="11"/>
        <color theme="1"/>
        <rFont val="Calibri"/>
        <family val="2"/>
        <scheme val="minor"/>
      </rPr>
      <t>automatically</t>
    </r>
    <r>
      <rPr>
        <sz val="11"/>
        <color theme="1"/>
        <rFont val="Calibri"/>
        <family val="2"/>
        <scheme val="minor"/>
      </rPr>
      <t xml:space="preserve"> be generated and give you/the Product Manager the right input to paste into the CAPEXInsights funding tool. </t>
    </r>
  </si>
  <si>
    <t>Please read the guidelines to understand which fields to edit and which to leave (as some contains fixed formulars that will provide necessary calculations).</t>
  </si>
  <si>
    <t>Ensure to fill out below who has signed off on the template</t>
  </si>
  <si>
    <t>Signed off by</t>
  </si>
  <si>
    <t xml:space="preserve">Date: </t>
  </si>
  <si>
    <t>Name..</t>
  </si>
  <si>
    <t>DD-MM-YYYY</t>
  </si>
  <si>
    <t>Table of content</t>
  </si>
  <si>
    <t>Guidelines to each sheet</t>
  </si>
  <si>
    <t>Resource Estimates</t>
  </si>
  <si>
    <t>Resource Cost Assumptions</t>
  </si>
  <si>
    <t xml:space="preserve">IT Services (OPS) cost </t>
  </si>
  <si>
    <t xml:space="preserve">Other costs </t>
  </si>
  <si>
    <t>Cost Overview</t>
  </si>
  <si>
    <t>CAPEXInsights</t>
  </si>
  <si>
    <t>Please select investment year:</t>
  </si>
  <si>
    <t>Work Estimation Details</t>
  </si>
  <si>
    <t>Optimistic</t>
  </si>
  <si>
    <t>Most Likely</t>
  </si>
  <si>
    <t>Pessimistic</t>
  </si>
  <si>
    <t>Confidence</t>
  </si>
  <si>
    <t>Delivery headline</t>
  </si>
  <si>
    <t>In scope assumptions</t>
  </si>
  <si>
    <t>Out of scope assumptions</t>
  </si>
  <si>
    <t>Cost Type</t>
  </si>
  <si>
    <t>Effort Hrs</t>
  </si>
  <si>
    <t>Factor</t>
  </si>
  <si>
    <t>Weighted average</t>
  </si>
  <si>
    <t>Comments</t>
  </si>
  <si>
    <t>Set up architectural landscape</t>
  </si>
  <si>
    <t>IT</t>
  </si>
  <si>
    <t>Development of xyZ</t>
  </si>
  <si>
    <t>xyz</t>
  </si>
  <si>
    <t>Area 2</t>
  </si>
  <si>
    <t>Sub area/task</t>
  </si>
  <si>
    <t>Area 3</t>
  </si>
  <si>
    <t>Area 4</t>
  </si>
  <si>
    <t>SUM</t>
  </si>
  <si>
    <t>Test Management</t>
  </si>
  <si>
    <t>Cutover</t>
  </si>
  <si>
    <t>Hypercare</t>
  </si>
  <si>
    <t>BCM</t>
  </si>
  <si>
    <t>User Experience</t>
  </si>
  <si>
    <t>Data quality improvement</t>
  </si>
  <si>
    <t>RTM cost</t>
  </si>
  <si>
    <t>Percentage:</t>
  </si>
  <si>
    <t>SIM</t>
  </si>
  <si>
    <t>Work Estimate Totals</t>
  </si>
  <si>
    <t>Last row in estimate
Autogenerated - 
DO NOT CHANGE</t>
  </si>
  <si>
    <t>Total amount of hours</t>
  </si>
  <si>
    <t>IT hours</t>
  </si>
  <si>
    <t>Contingency (IT hours)</t>
  </si>
  <si>
    <t>Resource cost assumptions</t>
  </si>
  <si>
    <t>Internal Resources 
DK,GE,UK,SE/PL resource split</t>
  </si>
  <si>
    <t>Value</t>
  </si>
  <si>
    <t>Describe the location split of the internal  IT resources and the rationale behind the split</t>
  </si>
  <si>
    <t>DK, GE, UK &amp; SE resource fraction</t>
  </si>
  <si>
    <t>…...Put description here</t>
  </si>
  <si>
    <r>
      <t xml:space="preserve">PL resource fraction </t>
    </r>
    <r>
      <rPr>
        <sz val="11"/>
        <color rgb="FFFF0000"/>
        <rFont val="Calibri"/>
        <family val="2"/>
        <scheme val="minor"/>
      </rPr>
      <t xml:space="preserve">(Computed - do </t>
    </r>
    <r>
      <rPr>
        <b/>
        <sz val="11"/>
        <color rgb="FFFF0000"/>
        <rFont val="Calibri"/>
        <family val="2"/>
        <scheme val="minor"/>
      </rPr>
      <t>NOT</t>
    </r>
    <r>
      <rPr>
        <sz val="11"/>
        <color rgb="FFFF0000"/>
        <rFont val="Calibri"/>
        <family val="2"/>
        <scheme val="minor"/>
      </rPr>
      <t xml:space="preserve"> change)</t>
    </r>
  </si>
  <si>
    <t>IT Resources
Internal / external resource split</t>
  </si>
  <si>
    <t>Describe the split between internal and external IT resources and the rationale behind the split</t>
  </si>
  <si>
    <t>Internal IT resource fraction</t>
  </si>
  <si>
    <t>External IT 1 resource fraction</t>
  </si>
  <si>
    <t>External IT 2 resource fraction</t>
  </si>
  <si>
    <t>External IT 3 resource fraction</t>
  </si>
  <si>
    <t>Total</t>
  </si>
  <si>
    <t>Internal &amp; External
avg. cost assumptions</t>
  </si>
  <si>
    <t>Average 
hourly cost (€)</t>
  </si>
  <si>
    <t>Describe rationale behind avg. hourly cost</t>
  </si>
  <si>
    <t>Internal IT (DK, GE, UK, SE)</t>
  </si>
  <si>
    <t>Average rate level 5-10 employees</t>
  </si>
  <si>
    <t>Internal IT (PL)</t>
  </si>
  <si>
    <t>External IT 1</t>
  </si>
  <si>
    <t>External IT 2</t>
  </si>
  <si>
    <t>External IT 3</t>
  </si>
  <si>
    <t>Blended Rate</t>
  </si>
  <si>
    <t>DO NOT DELETE</t>
  </si>
  <si>
    <t>Step 1.0 (Mandatory)</t>
  </si>
  <si>
    <t>Will project affect IT Operational Cost?</t>
  </si>
  <si>
    <t>Yes</t>
  </si>
  <si>
    <t>Drop Down</t>
  </si>
  <si>
    <t>Step 1.1 (Mandatory)</t>
  </si>
  <si>
    <t>Will the project lead to sunsetting an existing IT Solution?</t>
  </si>
  <si>
    <t>Step 2 (Mandatory)</t>
  </si>
  <si>
    <t>Contacts in IT Services - Who have been involved in cost estimations (see contact list)</t>
  </si>
  <si>
    <t>No</t>
  </si>
  <si>
    <t>Application Services</t>
  </si>
  <si>
    <t>xxx</t>
  </si>
  <si>
    <t>Infrastructure Services</t>
  </si>
  <si>
    <t>yyy</t>
  </si>
  <si>
    <t>Other</t>
  </si>
  <si>
    <t>zzz</t>
  </si>
  <si>
    <t>Step 3.0</t>
  </si>
  <si>
    <t>Additional Operations Cost</t>
  </si>
  <si>
    <t>Amounts to be inserted as a 
positive number tEUR (eg. 20)</t>
  </si>
  <si>
    <t>Instructions</t>
  </si>
  <si>
    <t>Category</t>
  </si>
  <si>
    <t>Type</t>
  </si>
  <si>
    <t>Description</t>
  </si>
  <si>
    <t>Vendor 
(if known)</t>
  </si>
  <si>
    <t>(first year - project cost)</t>
  </si>
  <si>
    <t>Application cost</t>
  </si>
  <si>
    <t>License cost/Saas/Subscription</t>
  </si>
  <si>
    <t>System/tool information</t>
  </si>
  <si>
    <t xml:space="preserve"> - The table is a gross list of potential cost, fill in relevant lines (add new if needed)</t>
  </si>
  <si>
    <t>Support/Enhancements/Maintenance</t>
  </si>
  <si>
    <t>Consultants to support the solution</t>
  </si>
  <si>
    <t xml:space="preserve"> - Remember to include expected cost increases beyond year 1</t>
  </si>
  <si>
    <t>Internal headcount</t>
  </si>
  <si>
    <t>Internal headcount (do we need additional resources for support?)</t>
  </si>
  <si>
    <t>Internal (please indicate number of FTEs)</t>
  </si>
  <si>
    <t xml:space="preserve"> - In case of acquisition cases, please use the 'FTE driven cost template'</t>
  </si>
  <si>
    <t>Azure</t>
  </si>
  <si>
    <t>Servers/storage and other services from Azure</t>
  </si>
  <si>
    <t>Infrastructure/DC</t>
  </si>
  <si>
    <t>Server/Storage</t>
  </si>
  <si>
    <t xml:space="preserve">Servers/storage etc. at Aeven </t>
  </si>
  <si>
    <t>Network</t>
  </si>
  <si>
    <t>LAN, WAN and Firewall</t>
  </si>
  <si>
    <t>Devices</t>
  </si>
  <si>
    <t>Device type</t>
  </si>
  <si>
    <t>Other Services</t>
  </si>
  <si>
    <t>Total operational cost</t>
  </si>
  <si>
    <t>Step 3.1</t>
  </si>
  <si>
    <t>Sunsetting existing applications (Only relevant if sunsetting existing applications/systems)</t>
  </si>
  <si>
    <t>Amounts to be inserted with a 
negative number tEUR (eg. -20)</t>
  </si>
  <si>
    <t>Total cost reduction from sunsetting existing systems</t>
  </si>
  <si>
    <t>Project cost</t>
  </si>
  <si>
    <t>IT Services (OPS) cost</t>
  </si>
  <si>
    <t>Contact list</t>
  </si>
  <si>
    <t>Technology and Functional areas</t>
  </si>
  <si>
    <t>Service Owners</t>
  </si>
  <si>
    <t>Department</t>
  </si>
  <si>
    <t>Data Foundation Support</t>
  </si>
  <si>
    <t>Agnieszka Swistak</t>
  </si>
  <si>
    <t>Application Services - Intelligent Automation and Data Lake</t>
  </si>
  <si>
    <t>Robotics support</t>
  </si>
  <si>
    <t>PowerApps, powerplatform, Sharepoint</t>
  </si>
  <si>
    <t>Supply Chain &amp; Planning</t>
  </si>
  <si>
    <t>Morten Korgaard Johansson</t>
  </si>
  <si>
    <t>Application Services - Supply Chain Planning</t>
  </si>
  <si>
    <t>Commercial Applications</t>
  </si>
  <si>
    <t>Dorte Brit Lau Malling</t>
  </si>
  <si>
    <t>Application Services - Commercial &amp; Technology</t>
  </si>
  <si>
    <t>EDI &amp; Integrations</t>
  </si>
  <si>
    <t>Marketing &amp; Innovation Aplications</t>
  </si>
  <si>
    <t>Lene Dalby</t>
  </si>
  <si>
    <t>Application Services - MI &amp; ASC</t>
  </si>
  <si>
    <t>Agriculture, Sustainability &amp; Communicatin</t>
  </si>
  <si>
    <t>HR applications</t>
  </si>
  <si>
    <t>Agnieszka Widlak</t>
  </si>
  <si>
    <t>Application Services - HR, Finance @ MDO support</t>
  </si>
  <si>
    <t>Finance applications</t>
  </si>
  <si>
    <t>Legal applications</t>
  </si>
  <si>
    <t>Azure - Infrastructure</t>
  </si>
  <si>
    <t>Kasper Fischer Holm</t>
  </si>
  <si>
    <t>Infrastructure Services - Cloud &amp; On Prem Data center services</t>
  </si>
  <si>
    <t>Infrastructure DC -  server /storage</t>
  </si>
  <si>
    <t>MS Office M265</t>
  </si>
  <si>
    <t>Marcelina Kowalik</t>
  </si>
  <si>
    <t>Infrastructure Services - EUS</t>
  </si>
  <si>
    <t>Infrastructure DC -  Clients</t>
  </si>
  <si>
    <t>Grzegorz Kulig</t>
  </si>
  <si>
    <t>Infrastructure Telephony</t>
  </si>
  <si>
    <t>Mariusz Włodarczyk</t>
  </si>
  <si>
    <t>Infrastructure Meeting room</t>
  </si>
  <si>
    <t>Michal Berent</t>
  </si>
  <si>
    <t>Infrastructure Printers</t>
  </si>
  <si>
    <t>Infrastructure Networks</t>
  </si>
  <si>
    <t>Thomas Joergensen/Mathew Mowat</t>
  </si>
  <si>
    <t>Infrastructure Services - Network</t>
  </si>
  <si>
    <t>SAP licenses (existing products)</t>
  </si>
  <si>
    <t>Henrik Albinus</t>
  </si>
  <si>
    <t>Vendor Management</t>
  </si>
  <si>
    <t>End User Licenses</t>
  </si>
  <si>
    <t>Lars Korskov</t>
  </si>
  <si>
    <t>SAP services</t>
  </si>
  <si>
    <t>Karin Hoberg / Suzana Antonic</t>
  </si>
  <si>
    <t>SAP Technical Services</t>
  </si>
  <si>
    <t>Please insert the numbers in CAPEXInsights as EUR and with the same sign (positive or negative) as shown below</t>
  </si>
  <si>
    <r>
      <t xml:space="preserve">To be inserted in the </t>
    </r>
    <r>
      <rPr>
        <b/>
        <sz val="11"/>
        <color theme="1"/>
        <rFont val="Calibri"/>
        <family val="2"/>
        <scheme val="minor"/>
      </rPr>
      <t xml:space="preserve">Budget Development </t>
    </r>
    <r>
      <rPr>
        <sz val="11"/>
        <color theme="1"/>
        <rFont val="Calibri"/>
        <family val="2"/>
        <scheme val="minor"/>
      </rPr>
      <t>tab</t>
    </r>
  </si>
  <si>
    <t>Total business case cost (EUR)</t>
  </si>
  <si>
    <t>CAPEX</t>
  </si>
  <si>
    <t>Contingency</t>
  </si>
  <si>
    <t>IT project OPEX costs</t>
  </si>
  <si>
    <r>
      <t xml:space="preserve">To be inserted in the </t>
    </r>
    <r>
      <rPr>
        <b/>
        <sz val="11"/>
        <color theme="1"/>
        <rFont val="Calibri"/>
        <family val="2"/>
        <scheme val="minor"/>
      </rPr>
      <t xml:space="preserve">Business Case Calculator </t>
    </r>
    <r>
      <rPr>
        <sz val="11"/>
        <color theme="1"/>
        <rFont val="Calibri"/>
        <family val="2"/>
        <scheme val="minor"/>
      </rPr>
      <t>tab</t>
    </r>
  </si>
  <si>
    <t>Field: Change in Volume and Profit &amp; Loss</t>
  </si>
  <si>
    <t>IT Operations: Change in operational costs</t>
  </si>
  <si>
    <t>Field: CAPEX Amount Requested</t>
  </si>
  <si>
    <t>Intangible assets (incl. IT project CAPEX costs)</t>
  </si>
  <si>
    <t>Item</t>
  </si>
  <si>
    <t>tEUR</t>
  </si>
  <si>
    <t>Travel</t>
  </si>
  <si>
    <t>…</t>
  </si>
  <si>
    <t>Hardware</t>
  </si>
  <si>
    <t>Fix price vendor deliverables</t>
  </si>
  <si>
    <t>Grand total -Other Costs</t>
  </si>
  <si>
    <t>Total inv. (tEUR)</t>
  </si>
  <si>
    <t>Total business case cost</t>
  </si>
  <si>
    <t>OPEX SHARE</t>
  </si>
  <si>
    <t>Resource cost estimate  (based on 85% confidence in resource estimates)</t>
  </si>
  <si>
    <t>Hours</t>
  </si>
  <si>
    <t>Cost (tEUR)</t>
  </si>
  <si>
    <t>Check</t>
  </si>
  <si>
    <t>Still to be distributed</t>
  </si>
  <si>
    <t>Calculated contingency</t>
  </si>
  <si>
    <t>Internal IT</t>
  </si>
  <si>
    <t>Self-defined contingency</t>
  </si>
  <si>
    <t>External IT</t>
  </si>
  <si>
    <t>Contingency (IT hours - internal/external mix)</t>
  </si>
  <si>
    <t>Bigger than 500 tEUR:</t>
  </si>
  <si>
    <t>Resources - subtotal</t>
  </si>
  <si>
    <t>Additional contingency 
(manually added on top IT hours contingency)</t>
  </si>
  <si>
    <t>Please desribe the reason behind additional contingency</t>
  </si>
  <si>
    <r>
      <t>&lt;-- If project cost is above 500 tEUR, then it is mandatory to evaluate whether 
'</t>
    </r>
    <r>
      <rPr>
        <b/>
        <sz val="11"/>
        <color theme="1"/>
        <rFont val="Calibri"/>
        <family val="2"/>
        <scheme val="minor"/>
      </rPr>
      <t>Additional contingency</t>
    </r>
    <r>
      <rPr>
        <sz val="11"/>
        <color theme="1"/>
        <rFont val="Calibri"/>
        <family val="2"/>
        <scheme val="minor"/>
      </rPr>
      <t>' is needed (cell C17 will be colored green)
Projects below 500 tEUR is also allowed to add 'Additional contingency', but it is not mandatory - please read below implications: 
This particular contingency is part of the approved funding (hence, what you get approved by e.g. CFO is OPEX+CAPEX+contingency). However, the target will only be OPEX+CAPEX, since we do not expect you to use the contingency. If the target is not sufficient and you need to use some of the contingency, then you need to create a change request in CAPEXInsights (this will not have to be presented to e.g., CFO once again but can be approved by the sponsor).</t>
    </r>
  </si>
  <si>
    <t>Total contigency</t>
  </si>
  <si>
    <t>Other costs</t>
  </si>
  <si>
    <r>
      <t xml:space="preserve">Licenses etc. (first year)  - </t>
    </r>
    <r>
      <rPr>
        <i/>
        <sz val="11"/>
        <color theme="1"/>
        <rFont val="Calibri"/>
        <family val="2"/>
        <scheme val="minor"/>
      </rPr>
      <t>from the '#3 IT Services (OPS) cost' tab</t>
    </r>
  </si>
  <si>
    <t>Other costs - subtotal</t>
  </si>
  <si>
    <r>
      <t>RELEVANT IF NEW EMPLOYEES ARE HIRED AS PART</t>
    </r>
    <r>
      <rPr>
        <b/>
        <sz val="14"/>
        <color theme="1"/>
        <rFont val="Calibri"/>
        <family val="2"/>
        <scheme val="minor"/>
      </rPr>
      <t xml:space="preserve"> </t>
    </r>
    <r>
      <rPr>
        <sz val="14"/>
        <color theme="1"/>
        <rFont val="Calibri"/>
        <family val="2"/>
        <scheme val="minor"/>
      </rPr>
      <t>OF THE PROJECT</t>
    </r>
    <r>
      <rPr>
        <b/>
        <sz val="14"/>
        <color theme="1"/>
        <rFont val="Calibri"/>
        <family val="2"/>
        <scheme val="minor"/>
      </rPr>
      <t xml:space="preserve"> OR</t>
    </r>
    <r>
      <rPr>
        <sz val="14"/>
        <color theme="1"/>
        <rFont val="Calibri"/>
        <family val="2"/>
        <scheme val="minor"/>
      </rPr>
      <t xml:space="preserve"> IF THE PROJECT IS AFFECTING SAP LICENSES</t>
    </r>
    <r>
      <rPr>
        <b/>
        <sz val="14"/>
        <color theme="1"/>
        <rFont val="Calibri"/>
        <family val="2"/>
        <scheme val="minor"/>
      </rPr>
      <t xml:space="preserve">
</t>
    </r>
    <r>
      <rPr>
        <sz val="14"/>
        <color theme="1"/>
        <rFont val="Calibri"/>
        <family val="2"/>
        <scheme val="minor"/>
      </rPr>
      <t>(Licenses for SAP and Microsoft 365 (only basic licenses))</t>
    </r>
  </si>
  <si>
    <t>Please always reach out to vendor management (Henrik Albinus) if utilizing this template</t>
  </si>
  <si>
    <t>EUR</t>
  </si>
  <si>
    <t>Input*</t>
  </si>
  <si>
    <t>Metric</t>
  </si>
  <si>
    <t>Blocks of</t>
  </si>
  <si>
    <t>Number</t>
  </si>
  <si>
    <t>Number of employees/headcounts</t>
  </si>
  <si>
    <t>User/Headcounts (SuccessFactors/M365 F5)</t>
  </si>
  <si>
    <t xml:space="preserve"> - hereoff number with an Arla laptop</t>
  </si>
  <si>
    <t>User/Headcounts (SuccessFactors/M365 E5)</t>
  </si>
  <si>
    <t>Number of FTE (for SAP on-prem)</t>
  </si>
  <si>
    <t>FTE (S/4HANA on-prem single metric)</t>
  </si>
  <si>
    <t>Concur - number of claims</t>
  </si>
  <si>
    <t>No of claim/year</t>
  </si>
  <si>
    <t>DocuSign - number of envelopes</t>
  </si>
  <si>
    <t>No of envelopes/year</t>
  </si>
  <si>
    <t>SAP IBP (all 5 modules)</t>
  </si>
  <si>
    <t>Revenue per year</t>
  </si>
  <si>
    <t>500.000.000 EUR</t>
  </si>
  <si>
    <t>SAP TM</t>
  </si>
  <si>
    <t>Freight spend year</t>
  </si>
  <si>
    <t>2.500.000 EUR</t>
  </si>
  <si>
    <t>SAP EWM</t>
  </si>
  <si>
    <t>Delivery items per day</t>
  </si>
  <si>
    <t>Total one-time</t>
  </si>
  <si>
    <t>Total annual cost</t>
  </si>
  <si>
    <t>SuccessFactor</t>
  </si>
  <si>
    <t>Annual price</t>
  </si>
  <si>
    <t>Total/year</t>
  </si>
  <si>
    <t>Employee central</t>
  </si>
  <si>
    <t>Talent Management</t>
  </si>
  <si>
    <t>Onboarding</t>
  </si>
  <si>
    <t>Microsoft M365</t>
  </si>
  <si>
    <t>Microsoft Office F5</t>
  </si>
  <si>
    <t>Microsoft Office incl OS E5</t>
  </si>
  <si>
    <t>SAP PS1 (on-prem)</t>
  </si>
  <si>
    <t>One time/FTE</t>
  </si>
  <si>
    <t>Total one time</t>
  </si>
  <si>
    <t>Yearly maintenance</t>
  </si>
  <si>
    <t>FTE metric</t>
  </si>
  <si>
    <t>FTE (S/4 on-prem sigle metric)</t>
  </si>
  <si>
    <t>HANA runtime (+15%)</t>
  </si>
  <si>
    <t>Concur</t>
  </si>
  <si>
    <t>Price per claim</t>
  </si>
  <si>
    <t>Claim</t>
  </si>
  <si>
    <t>DocuSign</t>
  </si>
  <si>
    <t>Price per envelope</t>
  </si>
  <si>
    <t>Envelopes</t>
  </si>
  <si>
    <t>SAP IBP</t>
  </si>
  <si>
    <t>Price per block</t>
  </si>
  <si>
    <t>500.000.000 EUR revenue /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</si>
</sst>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quot;kr.&quot;* #,##0.00_);_(&quot;kr.&quot;* \(#,##0.00\);_(&quot;kr.&quot;* &quot;-&quot;??_);_(@_)"/>
    <numFmt numFmtId="165" formatCode="0.0%"/>
    <numFmt numFmtId="166" formatCode="_-* #,##0_-;\-* #,##0_-;_-* &quot;-&quot;??_-;_-@_-"/>
    <numFmt numFmtId="167" formatCode="0.0"/>
    <numFmt numFmtId="168" formatCode="#,##0.0"/>
    <numFmt numFmtId="169" formatCode="#,##0.0_ ;\-#,##0.0\ "/>
  </numFmts>
  <fonts count="40">
    <font>
      <sz val="11"/>
      <color theme="1"/>
      <name val="Calibri"/>
      <family val="2"/>
      <scheme val="minor"/>
    </font>
    <font>
      <sz val="11"/>
      <color theme="1"/>
      <name val="Calibri"/>
      <family val="2"/>
      <scheme val="minor"/>
    </font>
    <font>
      <b/>
      <sz val="8"/>
      <name val="Arial"/>
      <family val="2"/>
    </font>
    <font>
      <b/>
      <sz val="11"/>
      <color theme="1"/>
      <name val="Calibri"/>
      <family val="2"/>
      <scheme val="minor"/>
    </font>
    <font>
      <sz val="11"/>
      <color rgb="FFFF0000"/>
      <name val="Calibri"/>
      <family val="2"/>
      <scheme val="minor"/>
    </font>
    <font>
      <b/>
      <sz val="11"/>
      <color rgb="FFFF0000"/>
      <name val="Calibri"/>
      <family val="2"/>
      <scheme val="minor"/>
    </font>
    <font>
      <b/>
      <sz val="11"/>
      <color rgb="FF363E42"/>
      <name val="Arla InterFace"/>
      <family val="2"/>
    </font>
    <font>
      <b/>
      <sz val="12"/>
      <color theme="1"/>
      <name val="Calibri"/>
      <family val="2"/>
      <scheme val="minor"/>
    </font>
    <font>
      <b/>
      <sz val="9"/>
      <color indexed="81"/>
      <name val="Tahoma"/>
      <family val="2"/>
    </font>
    <font>
      <sz val="9"/>
      <color indexed="81"/>
      <name val="Tahoma"/>
      <family val="2"/>
    </font>
    <font>
      <u/>
      <sz val="11"/>
      <color theme="10"/>
      <name val="Calibri"/>
      <family val="2"/>
      <scheme val="minor"/>
    </font>
    <font>
      <sz val="14"/>
      <color theme="1"/>
      <name val="Calibri"/>
      <family val="2"/>
      <scheme val="minor"/>
    </font>
    <font>
      <b/>
      <sz val="14"/>
      <color theme="1"/>
      <name val="Calibri"/>
      <family val="2"/>
      <scheme val="minor"/>
    </font>
    <font>
      <sz val="8"/>
      <color indexed="81"/>
      <name val="Tahoma"/>
      <family val="2"/>
    </font>
    <font>
      <b/>
      <sz val="11"/>
      <name val="Calibri"/>
      <family val="2"/>
      <scheme val="minor"/>
    </font>
    <font>
      <sz val="12"/>
      <color theme="1"/>
      <name val="Calibri"/>
      <family val="2"/>
      <scheme val="minor"/>
    </font>
    <font>
      <sz val="12"/>
      <color rgb="FFFF0000"/>
      <name val="Calibri"/>
      <family val="2"/>
      <scheme val="minor"/>
    </font>
    <font>
      <sz val="11"/>
      <color rgb="FFFFFF00"/>
      <name val="Calibri"/>
      <family val="2"/>
      <scheme val="minor"/>
    </font>
    <font>
      <sz val="12"/>
      <color rgb="FFFFFF00"/>
      <name val="Calibri"/>
      <family val="2"/>
      <scheme val="minor"/>
    </font>
    <font>
      <i/>
      <sz val="12"/>
      <color theme="1"/>
      <name val="Calibri"/>
      <family val="2"/>
      <scheme val="minor"/>
    </font>
    <font>
      <sz val="12"/>
      <name val="Calibri"/>
      <family val="2"/>
      <scheme val="minor"/>
    </font>
    <font>
      <b/>
      <sz val="12"/>
      <name val="Calibri"/>
      <family val="2"/>
      <scheme val="minor"/>
    </font>
    <font>
      <b/>
      <sz val="13"/>
      <color theme="1"/>
      <name val="Calibri"/>
      <family val="2"/>
      <scheme val="minor"/>
    </font>
    <font>
      <sz val="9"/>
      <color theme="1"/>
      <name val="Calibri"/>
      <family val="2"/>
      <scheme val="minor"/>
    </font>
    <font>
      <sz val="11"/>
      <color theme="0"/>
      <name val="Calibri"/>
      <family val="2"/>
      <scheme val="minor"/>
    </font>
    <font>
      <sz val="11"/>
      <color theme="1"/>
      <name val="Calibri"/>
      <family val="2"/>
    </font>
    <font>
      <b/>
      <sz val="8"/>
      <name val="Calibri"/>
      <family val="2"/>
    </font>
    <font>
      <b/>
      <sz val="11"/>
      <color theme="1"/>
      <name val="Calibri"/>
      <family val="2"/>
    </font>
    <font>
      <sz val="11"/>
      <color rgb="FFFF0000"/>
      <name val="Calibri"/>
      <family val="2"/>
    </font>
    <font>
      <b/>
      <i/>
      <sz val="8"/>
      <name val="Calibri"/>
      <family val="2"/>
    </font>
    <font>
      <sz val="8"/>
      <name val="Calibri"/>
      <family val="2"/>
    </font>
    <font>
      <i/>
      <sz val="8"/>
      <name val="Calibri"/>
      <family val="2"/>
    </font>
    <font>
      <b/>
      <sz val="8"/>
      <color rgb="FFFF0000"/>
      <name val="Calibri"/>
      <family val="2"/>
    </font>
    <font>
      <b/>
      <sz val="11"/>
      <color rgb="FFFF0000"/>
      <name val="Calibri"/>
      <family val="2"/>
    </font>
    <font>
      <b/>
      <sz val="11"/>
      <name val="Calibri"/>
      <family val="2"/>
    </font>
    <font>
      <b/>
      <sz val="8"/>
      <name val="Calibri"/>
      <family val="2"/>
      <scheme val="minor"/>
    </font>
    <font>
      <sz val="10"/>
      <name val="Calibri"/>
      <family val="2"/>
      <scheme val="minor"/>
    </font>
    <font>
      <b/>
      <sz val="10"/>
      <name val="Calibri"/>
      <family val="2"/>
      <scheme val="minor"/>
    </font>
    <font>
      <i/>
      <sz val="11"/>
      <color theme="1"/>
      <name val="Calibri"/>
      <family val="2"/>
      <scheme val="minor"/>
    </font>
    <font>
      <i/>
      <sz val="9"/>
      <color theme="1"/>
      <name val="Calibri"/>
      <family val="2"/>
      <scheme val="minor"/>
    </font>
  </fonts>
  <fills count="16">
    <fill>
      <patternFill patternType="none"/>
    </fill>
    <fill>
      <patternFill patternType="gray125"/>
    </fill>
    <fill>
      <patternFill patternType="solid">
        <fgColor theme="4" tint="0.79998168889431442"/>
        <bgColor indexed="64"/>
      </patternFill>
    </fill>
    <fill>
      <patternFill patternType="solid">
        <fgColor indexed="4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F2CC"/>
        <bgColor indexed="64"/>
      </patternFill>
    </fill>
    <fill>
      <patternFill patternType="solid">
        <fgColor rgb="FF92D050"/>
        <bgColor indexed="64"/>
      </patternFill>
    </fill>
    <fill>
      <patternFill patternType="solid">
        <fgColor theme="5" tint="0.39997558519241921"/>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0"/>
        <bgColor indexed="64"/>
      </patternFill>
    </fill>
    <fill>
      <patternFill patternType="solid">
        <fgColor rgb="FFFFFFCC"/>
        <bgColor indexed="64"/>
      </patternFill>
    </fill>
    <fill>
      <patternFill patternType="solid">
        <fgColor rgb="FFDA9694"/>
        <bgColor indexed="64"/>
      </patternFill>
    </fill>
    <fill>
      <patternFill patternType="solid">
        <fgColor theme="0" tint="-4.9989318521683403E-2"/>
        <bgColor indexed="64"/>
      </patternFill>
    </fill>
    <fill>
      <patternFill patternType="solid">
        <fgColor rgb="FF00B0F0"/>
        <bgColor indexed="64"/>
      </patternFill>
    </fill>
  </fills>
  <borders count="59">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dotted">
        <color indexed="64"/>
      </top>
      <bottom style="dotted">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style="medium">
        <color rgb="FFC00000"/>
      </left>
      <right style="medium">
        <color rgb="FFC00000"/>
      </right>
      <top style="medium">
        <color rgb="FFC00000"/>
      </top>
      <bottom/>
      <diagonal/>
    </border>
    <border>
      <left style="medium">
        <color rgb="FFC00000"/>
      </left>
      <right style="medium">
        <color rgb="FFC00000"/>
      </right>
      <top style="thin">
        <color indexed="64"/>
      </top>
      <bottom style="thin">
        <color indexed="64"/>
      </bottom>
      <diagonal/>
    </border>
    <border>
      <left style="medium">
        <color rgb="FFC00000"/>
      </left>
      <right style="medium">
        <color rgb="FFC00000"/>
      </right>
      <top style="thin">
        <color indexed="64"/>
      </top>
      <bottom/>
      <diagonal/>
    </border>
    <border>
      <left style="medium">
        <color rgb="FFC00000"/>
      </left>
      <right style="medium">
        <color rgb="FFC00000"/>
      </right>
      <top style="medium">
        <color indexed="64"/>
      </top>
      <bottom style="medium">
        <color rgb="FFC00000"/>
      </bottom>
      <diagonal/>
    </border>
    <border>
      <left/>
      <right style="thin">
        <color indexed="64"/>
      </right>
      <top/>
      <bottom/>
      <diagonal/>
    </border>
    <border>
      <left style="medium">
        <color rgb="FFC00000"/>
      </left>
      <right style="medium">
        <color rgb="FFC00000"/>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s>
  <cellStyleXfs count="5">
    <xf numFmtId="0" fontId="0" fillId="0" borderId="0"/>
    <xf numFmtId="9"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0" fontId="10" fillId="0" borderId="0" applyNumberFormat="0" applyFill="0" applyBorder="0" applyAlignment="0" applyProtection="0"/>
  </cellStyleXfs>
  <cellXfs count="346">
    <xf numFmtId="0" fontId="0" fillId="0" borderId="0" xfId="0"/>
    <xf numFmtId="0" fontId="0" fillId="0" borderId="0" xfId="0" applyAlignment="1">
      <alignment horizontal="center"/>
    </xf>
    <xf numFmtId="0" fontId="0" fillId="0" borderId="0" xfId="0" applyAlignment="1">
      <alignment wrapText="1"/>
    </xf>
    <xf numFmtId="0" fontId="3" fillId="0" borderId="0" xfId="0" applyFont="1"/>
    <xf numFmtId="0" fontId="3" fillId="0" borderId="0" xfId="0" applyFont="1" applyAlignment="1">
      <alignment vertical="center"/>
    </xf>
    <xf numFmtId="0" fontId="0" fillId="0" borderId="0" xfId="0" applyAlignment="1">
      <alignment vertical="center"/>
    </xf>
    <xf numFmtId="0" fontId="0" fillId="0" borderId="1" xfId="0" applyBorder="1" applyAlignment="1">
      <alignment wrapText="1"/>
    </xf>
    <xf numFmtId="0" fontId="3" fillId="0" borderId="1" xfId="0" applyFont="1" applyBorder="1" applyAlignment="1">
      <alignment wrapText="1"/>
    </xf>
    <xf numFmtId="0" fontId="0" fillId="0" borderId="1" xfId="0" applyBorder="1" applyAlignment="1">
      <alignment vertical="center" wrapText="1"/>
    </xf>
    <xf numFmtId="0" fontId="3" fillId="0" borderId="0" xfId="0" applyFont="1" applyAlignment="1">
      <alignment wrapText="1"/>
    </xf>
    <xf numFmtId="0" fontId="3" fillId="4" borderId="1" xfId="0" applyFont="1" applyFill="1" applyBorder="1" applyAlignment="1">
      <alignment horizontal="left" vertical="center"/>
    </xf>
    <xf numFmtId="0" fontId="7" fillId="0" borderId="0" xfId="0" applyFont="1"/>
    <xf numFmtId="0" fontId="0" fillId="0" borderId="13" xfId="0" applyBorder="1"/>
    <xf numFmtId="0" fontId="0" fillId="0" borderId="14" xfId="0" applyBorder="1"/>
    <xf numFmtId="0" fontId="0" fillId="0" borderId="16" xfId="0" quotePrefix="1" applyBorder="1"/>
    <xf numFmtId="0" fontId="0" fillId="0" borderId="16" xfId="0" applyBorder="1"/>
    <xf numFmtId="0" fontId="0" fillId="0" borderId="18" xfId="0" applyBorder="1"/>
    <xf numFmtId="0" fontId="0" fillId="0" borderId="19" xfId="0" applyBorder="1"/>
    <xf numFmtId="0" fontId="3" fillId="0" borderId="13" xfId="0" quotePrefix="1" applyFont="1" applyBorder="1"/>
    <xf numFmtId="166" fontId="3" fillId="0" borderId="14" xfId="0" applyNumberFormat="1" applyFont="1" applyBorder="1"/>
    <xf numFmtId="0" fontId="3" fillId="0" borderId="18" xfId="0" quotePrefix="1" applyFont="1" applyBorder="1"/>
    <xf numFmtId="166" fontId="3" fillId="0" borderId="19" xfId="0" applyNumberFormat="1" applyFont="1" applyBorder="1"/>
    <xf numFmtId="0" fontId="7" fillId="0" borderId="21" xfId="0" applyFont="1" applyBorder="1"/>
    <xf numFmtId="0" fontId="3" fillId="0" borderId="14" xfId="0" applyFont="1" applyBorder="1"/>
    <xf numFmtId="0" fontId="3" fillId="0" borderId="11" xfId="0" applyFont="1" applyBorder="1"/>
    <xf numFmtId="0" fontId="0" fillId="0" borderId="22" xfId="0" applyBorder="1"/>
    <xf numFmtId="166" fontId="0" fillId="0" borderId="15" xfId="3" applyNumberFormat="1" applyFont="1" applyBorder="1"/>
    <xf numFmtId="0" fontId="0" fillId="0" borderId="23" xfId="0" applyBorder="1"/>
    <xf numFmtId="166" fontId="0" fillId="0" borderId="17" xfId="3" applyNumberFormat="1" applyFont="1" applyBorder="1"/>
    <xf numFmtId="0" fontId="0" fillId="0" borderId="24" xfId="0" applyBorder="1"/>
    <xf numFmtId="166" fontId="0" fillId="0" borderId="20" xfId="3" applyNumberFormat="1" applyFont="1" applyBorder="1"/>
    <xf numFmtId="0" fontId="3" fillId="0" borderId="21" xfId="0" applyFont="1" applyBorder="1"/>
    <xf numFmtId="0" fontId="3" fillId="0" borderId="19" xfId="0" applyFont="1" applyBorder="1"/>
    <xf numFmtId="0" fontId="3" fillId="0" borderId="10" xfId="0" applyFont="1" applyBorder="1"/>
    <xf numFmtId="166" fontId="3" fillId="0" borderId="12" xfId="3" applyNumberFormat="1" applyFont="1" applyBorder="1"/>
    <xf numFmtId="166" fontId="3" fillId="0" borderId="0" xfId="3" applyNumberFormat="1" applyFont="1" applyBorder="1"/>
    <xf numFmtId="0" fontId="3" fillId="0" borderId="12" xfId="0" applyFont="1" applyBorder="1"/>
    <xf numFmtId="166" fontId="0" fillId="0" borderId="0" xfId="3" applyNumberFormat="1" applyFont="1" applyBorder="1"/>
    <xf numFmtId="0" fontId="3" fillId="0" borderId="24" xfId="0" applyFont="1" applyBorder="1"/>
    <xf numFmtId="166" fontId="3" fillId="0" borderId="19" xfId="3" applyNumberFormat="1" applyFont="1" applyBorder="1"/>
    <xf numFmtId="166" fontId="3" fillId="0" borderId="20" xfId="3" applyNumberFormat="1" applyFont="1" applyBorder="1"/>
    <xf numFmtId="0" fontId="0" fillId="0" borderId="21" xfId="0" applyBorder="1"/>
    <xf numFmtId="166" fontId="0" fillId="0" borderId="19" xfId="3" applyNumberFormat="1" applyFont="1" applyBorder="1"/>
    <xf numFmtId="0" fontId="3" fillId="2" borderId="1" xfId="0" applyFont="1" applyFill="1" applyBorder="1" applyAlignment="1">
      <alignment vertical="center" wrapText="1"/>
    </xf>
    <xf numFmtId="0" fontId="3" fillId="2" borderId="1" xfId="0" applyFont="1" applyFill="1" applyBorder="1" applyAlignment="1">
      <alignment horizontal="center" vertical="center"/>
    </xf>
    <xf numFmtId="0" fontId="3" fillId="2" borderId="1" xfId="0" applyFont="1" applyFill="1" applyBorder="1" applyAlignment="1">
      <alignment wrapText="1"/>
    </xf>
    <xf numFmtId="0" fontId="3" fillId="2" borderId="1" xfId="0" applyFont="1" applyFill="1" applyBorder="1" applyAlignment="1">
      <alignment horizontal="center"/>
    </xf>
    <xf numFmtId="0" fontId="0" fillId="8" borderId="14" xfId="0" applyFill="1" applyBorder="1"/>
    <xf numFmtId="0" fontId="0" fillId="8" borderId="0" xfId="0" applyFill="1"/>
    <xf numFmtId="3" fontId="0" fillId="8" borderId="19" xfId="0" applyNumberFormat="1" applyFill="1" applyBorder="1"/>
    <xf numFmtId="166" fontId="0" fillId="8" borderId="15" xfId="0" applyNumberFormat="1" applyFill="1" applyBorder="1"/>
    <xf numFmtId="166" fontId="0" fillId="8" borderId="20" xfId="0" applyNumberFormat="1" applyFill="1" applyBorder="1"/>
    <xf numFmtId="0" fontId="7" fillId="2" borderId="10" xfId="0" applyFont="1" applyFill="1" applyBorder="1"/>
    <xf numFmtId="0" fontId="7" fillId="2" borderId="11" xfId="0" applyFont="1" applyFill="1" applyBorder="1"/>
    <xf numFmtId="0" fontId="0" fillId="2" borderId="12" xfId="0" applyFill="1" applyBorder="1"/>
    <xf numFmtId="0" fontId="14" fillId="0" borderId="0" xfId="0" applyFont="1" applyAlignment="1">
      <alignment vertical="center"/>
    </xf>
    <xf numFmtId="0" fontId="15" fillId="0" borderId="0" xfId="0" applyFont="1"/>
    <xf numFmtId="0" fontId="15" fillId="0" borderId="0" xfId="0" applyFont="1" applyAlignment="1">
      <alignment horizontal="center"/>
    </xf>
    <xf numFmtId="0" fontId="16" fillId="0" borderId="0" xfId="0" applyFont="1"/>
    <xf numFmtId="0" fontId="7" fillId="4" borderId="1" xfId="0" applyFont="1" applyFill="1" applyBorder="1" applyAlignment="1">
      <alignment horizontal="center" vertical="center" wrapText="1"/>
    </xf>
    <xf numFmtId="0" fontId="7" fillId="0" borderId="0" xfId="0" applyFont="1" applyAlignment="1">
      <alignment horizontal="left" vertical="center"/>
    </xf>
    <xf numFmtId="0" fontId="17" fillId="5" borderId="0" xfId="0" applyFont="1" applyFill="1"/>
    <xf numFmtId="0" fontId="15" fillId="0" borderId="0" xfId="0" applyFont="1" applyAlignment="1">
      <alignment horizontal="left" vertical="center"/>
    </xf>
    <xf numFmtId="0" fontId="18" fillId="5" borderId="0" xfId="0" applyFont="1" applyFill="1"/>
    <xf numFmtId="0" fontId="15" fillId="0" borderId="1" xfId="0" applyFont="1" applyBorder="1"/>
    <xf numFmtId="0" fontId="7" fillId="4" borderId="3" xfId="0" applyFont="1" applyFill="1" applyBorder="1" applyAlignment="1">
      <alignment horizontal="center" vertical="center"/>
    </xf>
    <xf numFmtId="0" fontId="15" fillId="0" borderId="0" xfId="0" applyFont="1" applyAlignment="1">
      <alignment vertical="center"/>
    </xf>
    <xf numFmtId="0" fontId="15" fillId="0" borderId="0" xfId="0" applyFont="1" applyAlignment="1">
      <alignment horizontal="center" vertical="center"/>
    </xf>
    <xf numFmtId="0" fontId="15" fillId="0" borderId="0" xfId="0" quotePrefix="1" applyFont="1"/>
    <xf numFmtId="0" fontId="15" fillId="0" borderId="8" xfId="0" applyFont="1" applyBorder="1"/>
    <xf numFmtId="0" fontId="7" fillId="4" borderId="1" xfId="0" applyFont="1" applyFill="1" applyBorder="1" applyAlignment="1">
      <alignment horizontal="center" vertical="center"/>
    </xf>
    <xf numFmtId="168" fontId="3" fillId="0" borderId="1" xfId="0" applyNumberFormat="1" applyFont="1" applyBorder="1" applyAlignment="1">
      <alignment horizontal="center"/>
    </xf>
    <xf numFmtId="0" fontId="2" fillId="6" borderId="1" xfId="0" applyFont="1" applyFill="1" applyBorder="1" applyAlignment="1">
      <alignment horizontal="right" vertical="center" wrapText="1"/>
    </xf>
    <xf numFmtId="0" fontId="0" fillId="5" borderId="0" xfId="0" applyFill="1"/>
    <xf numFmtId="0" fontId="19" fillId="12" borderId="1" xfId="0" applyFont="1" applyFill="1" applyBorder="1" applyAlignment="1">
      <alignment wrapText="1"/>
    </xf>
    <xf numFmtId="0" fontId="15" fillId="12" borderId="1" xfId="0" applyFont="1" applyFill="1" applyBorder="1" applyAlignment="1">
      <alignment horizontal="center" wrapText="1"/>
    </xf>
    <xf numFmtId="0" fontId="19" fillId="12" borderId="8" xfId="0" applyFont="1" applyFill="1" applyBorder="1" applyAlignment="1">
      <alignment wrapText="1"/>
    </xf>
    <xf numFmtId="0" fontId="0" fillId="14" borderId="0" xfId="0" applyFill="1"/>
    <xf numFmtId="168" fontId="3" fillId="2" borderId="1" xfId="0" applyNumberFormat="1" applyFont="1" applyFill="1" applyBorder="1" applyAlignment="1">
      <alignment horizontal="center" vertical="center"/>
    </xf>
    <xf numFmtId="168" fontId="3" fillId="8" borderId="1" xfId="0" applyNumberFormat="1" applyFont="1" applyFill="1" applyBorder="1" applyAlignment="1">
      <alignment horizontal="center"/>
    </xf>
    <xf numFmtId="3" fontId="0" fillId="8" borderId="1" xfId="0" applyNumberFormat="1" applyFill="1" applyBorder="1" applyAlignment="1">
      <alignment horizontal="center"/>
    </xf>
    <xf numFmtId="0" fontId="0" fillId="0" borderId="0" xfId="0" applyAlignment="1">
      <alignment horizontal="center" vertical="center"/>
    </xf>
    <xf numFmtId="0" fontId="23" fillId="0" borderId="0" xfId="0" applyFont="1" applyAlignment="1">
      <alignment horizontal="center" vertical="center" wrapText="1"/>
    </xf>
    <xf numFmtId="0" fontId="23" fillId="0" borderId="0" xfId="0" applyFont="1" applyAlignment="1">
      <alignment horizontal="center" vertical="center"/>
    </xf>
    <xf numFmtId="2" fontId="0" fillId="0" borderId="1" xfId="0" applyNumberFormat="1" applyBorder="1" applyAlignment="1">
      <alignment horizontal="center" vertical="center"/>
    </xf>
    <xf numFmtId="167" fontId="0" fillId="0" borderId="1" xfId="0" applyNumberFormat="1" applyBorder="1" applyAlignment="1">
      <alignment horizontal="center" vertical="center"/>
    </xf>
    <xf numFmtId="0" fontId="0" fillId="0" borderId="0" xfId="0" applyAlignment="1">
      <alignment vertical="center" wrapText="1"/>
    </xf>
    <xf numFmtId="0" fontId="3" fillId="2" borderId="3" xfId="0" applyFont="1" applyFill="1" applyBorder="1" applyAlignment="1">
      <alignment horizontal="left" vertical="center" wrapText="1"/>
    </xf>
    <xf numFmtId="0" fontId="24" fillId="0" borderId="0" xfId="0" applyFont="1"/>
    <xf numFmtId="168" fontId="0" fillId="8" borderId="1" xfId="0" applyNumberFormat="1" applyFill="1" applyBorder="1" applyAlignment="1">
      <alignment horizontal="left"/>
    </xf>
    <xf numFmtId="3" fontId="3" fillId="8" borderId="1" xfId="0" applyNumberFormat="1" applyFont="1" applyFill="1" applyBorder="1" applyAlignment="1">
      <alignment horizontal="center"/>
    </xf>
    <xf numFmtId="168" fontId="3" fillId="8" borderId="1" xfId="0" applyNumberFormat="1" applyFont="1" applyFill="1" applyBorder="1" applyAlignment="1">
      <alignment horizontal="center" wrapText="1"/>
    </xf>
    <xf numFmtId="0" fontId="25" fillId="5" borderId="0" xfId="0" applyFont="1" applyFill="1"/>
    <xf numFmtId="9" fontId="26" fillId="2" borderId="6" xfId="0" applyNumberFormat="1" applyFont="1" applyFill="1" applyBorder="1" applyAlignment="1">
      <alignment horizontal="center" vertical="center"/>
    </xf>
    <xf numFmtId="165" fontId="26" fillId="2" borderId="6" xfId="0" applyNumberFormat="1" applyFont="1" applyFill="1" applyBorder="1" applyAlignment="1">
      <alignment horizontal="center" vertical="center"/>
    </xf>
    <xf numFmtId="0" fontId="25" fillId="0" borderId="0" xfId="0" applyFont="1"/>
    <xf numFmtId="0" fontId="27" fillId="0" borderId="0" xfId="0" applyFont="1"/>
    <xf numFmtId="0" fontId="28" fillId="0" borderId="0" xfId="0" applyFont="1"/>
    <xf numFmtId="0" fontId="26" fillId="2" borderId="8" xfId="0" applyFont="1" applyFill="1" applyBorder="1" applyAlignment="1">
      <alignment horizontal="center" vertical="center" wrapText="1"/>
    </xf>
    <xf numFmtId="0" fontId="26" fillId="2" borderId="9" xfId="0" applyFont="1" applyFill="1" applyBorder="1" applyAlignment="1">
      <alignment horizontal="center" vertical="center" wrapText="1"/>
    </xf>
    <xf numFmtId="0" fontId="26" fillId="2" borderId="9" xfId="0" applyFont="1" applyFill="1" applyBorder="1" applyAlignment="1">
      <alignment horizontal="center" vertical="center"/>
    </xf>
    <xf numFmtId="0" fontId="26" fillId="2" borderId="8" xfId="0" applyFont="1" applyFill="1" applyBorder="1" applyAlignment="1">
      <alignment horizontal="center" vertical="center"/>
    </xf>
    <xf numFmtId="0" fontId="26" fillId="2" borderId="1" xfId="0" applyFont="1" applyFill="1" applyBorder="1" applyAlignment="1">
      <alignment horizontal="center" vertical="center"/>
    </xf>
    <xf numFmtId="0" fontId="26" fillId="2" borderId="2" xfId="0" applyFont="1" applyFill="1" applyBorder="1" applyAlignment="1">
      <alignment horizontal="center" vertical="center" wrapText="1"/>
    </xf>
    <xf numFmtId="0" fontId="29" fillId="0" borderId="1" xfId="0" applyFont="1" applyBorder="1" applyAlignment="1">
      <alignment horizontal="left" vertical="center" wrapText="1"/>
    </xf>
    <xf numFmtId="0" fontId="30" fillId="0" borderId="1" xfId="0" applyFont="1" applyBorder="1" applyAlignment="1">
      <alignment horizontal="left" vertical="center" wrapText="1"/>
    </xf>
    <xf numFmtId="1" fontId="25" fillId="8" borderId="1" xfId="0" applyNumberFormat="1" applyFont="1" applyFill="1" applyBorder="1" applyAlignment="1">
      <alignment horizontal="center"/>
    </xf>
    <xf numFmtId="3" fontId="25" fillId="0" borderId="1" xfId="0" applyNumberFormat="1" applyFont="1" applyBorder="1" applyAlignment="1">
      <alignment horizontal="right"/>
    </xf>
    <xf numFmtId="1" fontId="25" fillId="8" borderId="1" xfId="0" applyNumberFormat="1" applyFont="1" applyFill="1" applyBorder="1" applyAlignment="1">
      <alignment horizontal="right"/>
    </xf>
    <xf numFmtId="2" fontId="25" fillId="0" borderId="3" xfId="0" applyNumberFormat="1" applyFont="1" applyBorder="1" applyAlignment="1">
      <alignment horizontal="left" vertical="top" wrapText="1"/>
    </xf>
    <xf numFmtId="2" fontId="25" fillId="0" borderId="3" xfId="0" applyNumberFormat="1" applyFont="1" applyBorder="1" applyAlignment="1">
      <alignment horizontal="right" wrapText="1"/>
    </xf>
    <xf numFmtId="0" fontId="31" fillId="0" borderId="1" xfId="0" applyFont="1" applyBorder="1" applyAlignment="1">
      <alignment horizontal="left" vertical="center" wrapText="1"/>
    </xf>
    <xf numFmtId="0" fontId="30" fillId="0" borderId="1" xfId="0" applyFont="1" applyBorder="1" applyAlignment="1">
      <alignment horizontal="left" vertical="center"/>
    </xf>
    <xf numFmtId="0" fontId="31" fillId="0" borderId="8" xfId="0" applyFont="1" applyBorder="1" applyAlignment="1">
      <alignment horizontal="left" vertical="center" wrapText="1"/>
    </xf>
    <xf numFmtId="0" fontId="30" fillId="0" borderId="8" xfId="0" applyFont="1" applyBorder="1" applyAlignment="1">
      <alignment horizontal="left" vertical="center"/>
    </xf>
    <xf numFmtId="3" fontId="25" fillId="0" borderId="8" xfId="0" applyNumberFormat="1" applyFont="1" applyBorder="1" applyAlignment="1">
      <alignment horizontal="right"/>
    </xf>
    <xf numFmtId="0" fontId="26" fillId="9" borderId="26" xfId="0" applyFont="1" applyFill="1" applyBorder="1" applyAlignment="1">
      <alignment horizontal="left" vertical="center" wrapText="1"/>
    </xf>
    <xf numFmtId="0" fontId="26" fillId="9" borderId="29" xfId="0" applyFont="1" applyFill="1" applyBorder="1" applyAlignment="1">
      <alignment horizontal="left" vertical="center" wrapText="1"/>
    </xf>
    <xf numFmtId="0" fontId="31" fillId="0" borderId="6" xfId="0" applyFont="1" applyBorder="1" applyAlignment="1">
      <alignment horizontal="left" vertical="center" wrapText="1"/>
    </xf>
    <xf numFmtId="0" fontId="30" fillId="0" borderId="6" xfId="0" applyFont="1" applyBorder="1" applyAlignment="1">
      <alignment horizontal="left" vertical="center"/>
    </xf>
    <xf numFmtId="0" fontId="30" fillId="0" borderId="6" xfId="0" applyFont="1" applyBorder="1" applyAlignment="1">
      <alignment horizontal="center" vertical="center"/>
    </xf>
    <xf numFmtId="3" fontId="25" fillId="0" borderId="6" xfId="0" applyNumberFormat="1" applyFont="1" applyBorder="1" applyAlignment="1">
      <alignment horizontal="right"/>
    </xf>
    <xf numFmtId="1" fontId="25" fillId="8" borderId="6" xfId="0" applyNumberFormat="1" applyFont="1" applyFill="1" applyBorder="1" applyAlignment="1">
      <alignment horizontal="right"/>
    </xf>
    <xf numFmtId="0" fontId="29" fillId="7" borderId="1" xfId="0" applyFont="1" applyFill="1" applyBorder="1" applyAlignment="1">
      <alignment horizontal="left" vertical="center" wrapText="1"/>
    </xf>
    <xf numFmtId="0" fontId="26" fillId="7" borderId="1" xfId="0" applyFont="1" applyFill="1" applyBorder="1" applyAlignment="1">
      <alignment horizontal="left" vertical="center" wrapText="1"/>
    </xf>
    <xf numFmtId="0" fontId="30" fillId="0" borderId="1" xfId="0" applyFont="1" applyBorder="1" applyAlignment="1">
      <alignment horizontal="center" vertical="center"/>
    </xf>
    <xf numFmtId="0" fontId="26" fillId="0" borderId="1" xfId="0" applyFont="1" applyBorder="1" applyAlignment="1">
      <alignment horizontal="left" vertical="center" wrapText="1"/>
    </xf>
    <xf numFmtId="1" fontId="25" fillId="8" borderId="4" xfId="0" applyNumberFormat="1" applyFont="1" applyFill="1" applyBorder="1" applyAlignment="1">
      <alignment horizontal="right"/>
    </xf>
    <xf numFmtId="0" fontId="25" fillId="0" borderId="30" xfId="0" applyFont="1" applyBorder="1"/>
    <xf numFmtId="0" fontId="25" fillId="0" borderId="30" xfId="0" applyFont="1" applyBorder="1" applyAlignment="1">
      <alignment horizontal="center"/>
    </xf>
    <xf numFmtId="3" fontId="25" fillId="0" borderId="30" xfId="0" applyNumberFormat="1" applyFont="1" applyBorder="1"/>
    <xf numFmtId="1" fontId="25" fillId="8" borderId="31" xfId="0" applyNumberFormat="1" applyFont="1" applyFill="1" applyBorder="1" applyAlignment="1">
      <alignment horizontal="right"/>
    </xf>
    <xf numFmtId="1" fontId="25" fillId="8" borderId="30" xfId="0" applyNumberFormat="1" applyFont="1" applyFill="1" applyBorder="1" applyAlignment="1">
      <alignment horizontal="right"/>
    </xf>
    <xf numFmtId="2" fontId="25" fillId="0" borderId="32" xfId="0" applyNumberFormat="1" applyFont="1" applyBorder="1" applyAlignment="1">
      <alignment horizontal="left" vertical="top" wrapText="1"/>
    </xf>
    <xf numFmtId="0" fontId="29" fillId="7" borderId="6" xfId="0" applyFont="1" applyFill="1" applyBorder="1" applyAlignment="1">
      <alignment horizontal="left" vertical="center" wrapText="1"/>
    </xf>
    <xf numFmtId="0" fontId="26" fillId="7" borderId="6" xfId="0" applyFont="1" applyFill="1" applyBorder="1" applyAlignment="1">
      <alignment horizontal="right" vertical="center" wrapText="1"/>
    </xf>
    <xf numFmtId="9" fontId="25" fillId="0" borderId="0" xfId="1" applyFont="1" applyAlignment="1">
      <alignment horizontal="center"/>
    </xf>
    <xf numFmtId="3" fontId="25" fillId="8" borderId="6" xfId="0" applyNumberFormat="1" applyFont="1" applyFill="1" applyBorder="1" applyAlignment="1">
      <alignment horizontal="right"/>
    </xf>
    <xf numFmtId="2" fontId="25" fillId="0" borderId="2" xfId="0" applyNumberFormat="1" applyFont="1" applyBorder="1" applyAlignment="1">
      <alignment horizontal="left" vertical="top" wrapText="1"/>
    </xf>
    <xf numFmtId="0" fontId="26" fillId="7" borderId="1" xfId="0" applyFont="1" applyFill="1" applyBorder="1" applyAlignment="1">
      <alignment horizontal="right" vertical="center" wrapText="1"/>
    </xf>
    <xf numFmtId="9" fontId="25" fillId="8" borderId="1" xfId="1" applyFont="1" applyFill="1" applyBorder="1" applyAlignment="1">
      <alignment horizontal="center"/>
    </xf>
    <xf numFmtId="3" fontId="25" fillId="8" borderId="1" xfId="0" applyNumberFormat="1" applyFont="1" applyFill="1" applyBorder="1" applyAlignment="1">
      <alignment horizontal="right"/>
    </xf>
    <xf numFmtId="0" fontId="32" fillId="0" borderId="1" xfId="0" applyFont="1" applyBorder="1" applyAlignment="1">
      <alignment horizontal="left" vertical="center" wrapText="1"/>
    </xf>
    <xf numFmtId="0" fontId="28" fillId="0" borderId="1" xfId="0" applyFont="1" applyBorder="1" applyAlignment="1">
      <alignment horizontal="center" vertical="center"/>
    </xf>
    <xf numFmtId="0" fontId="25" fillId="0" borderId="0" xfId="0" applyFont="1" applyAlignment="1">
      <alignment horizontal="center"/>
    </xf>
    <xf numFmtId="0" fontId="25" fillId="0" borderId="0" xfId="0" applyFont="1" applyAlignment="1">
      <alignment wrapText="1"/>
    </xf>
    <xf numFmtId="0" fontId="27" fillId="4" borderId="1" xfId="0" applyFont="1" applyFill="1" applyBorder="1"/>
    <xf numFmtId="0" fontId="25" fillId="4" borderId="1" xfId="0" applyFont="1" applyFill="1" applyBorder="1"/>
    <xf numFmtId="0" fontId="27" fillId="8" borderId="1" xfId="0" applyFont="1" applyFill="1" applyBorder="1"/>
    <xf numFmtId="3" fontId="27" fillId="8" borderId="1" xfId="0" applyNumberFormat="1" applyFont="1" applyFill="1" applyBorder="1"/>
    <xf numFmtId="3" fontId="27" fillId="8" borderId="1" xfId="1" applyNumberFormat="1" applyFont="1" applyFill="1" applyBorder="1"/>
    <xf numFmtId="0" fontId="27" fillId="0" borderId="0" xfId="0" applyFont="1" applyAlignment="1">
      <alignment horizontal="center"/>
    </xf>
    <xf numFmtId="0" fontId="27" fillId="0" borderId="0" xfId="0" applyFont="1" applyAlignment="1">
      <alignment wrapText="1"/>
    </xf>
    <xf numFmtId="0" fontId="33" fillId="0" borderId="0" xfId="0" applyFont="1"/>
    <xf numFmtId="0" fontId="26" fillId="9" borderId="27" xfId="0" applyFont="1" applyFill="1" applyBorder="1" applyAlignment="1">
      <alignment horizontal="left" vertical="center"/>
    </xf>
    <xf numFmtId="0" fontId="26" fillId="9" borderId="27" xfId="0" applyFont="1" applyFill="1" applyBorder="1" applyAlignment="1">
      <alignment horizontal="center" vertical="center"/>
    </xf>
    <xf numFmtId="3" fontId="27" fillId="9" borderId="27" xfId="0" applyNumberFormat="1" applyFont="1" applyFill="1" applyBorder="1" applyAlignment="1">
      <alignment horizontal="right"/>
    </xf>
    <xf numFmtId="0" fontId="36" fillId="7" borderId="1" xfId="0" applyFont="1" applyFill="1" applyBorder="1" applyAlignment="1">
      <alignment horizontal="left" vertical="center" wrapText="1"/>
    </xf>
    <xf numFmtId="0" fontId="21" fillId="2" borderId="8" xfId="0" applyFont="1" applyFill="1" applyBorder="1" applyAlignment="1">
      <alignment horizontal="center" vertical="center" wrapText="1"/>
    </xf>
    <xf numFmtId="4" fontId="0" fillId="0" borderId="1" xfId="0" applyNumberFormat="1" applyBorder="1" applyAlignment="1">
      <alignment horizontal="center" vertical="center"/>
    </xf>
    <xf numFmtId="4" fontId="0" fillId="0" borderId="1" xfId="0" applyNumberFormat="1" applyBorder="1" applyAlignment="1">
      <alignment horizontal="center"/>
    </xf>
    <xf numFmtId="0" fontId="0" fillId="5" borderId="0" xfId="0" applyFill="1" applyAlignment="1">
      <alignment horizontal="center"/>
    </xf>
    <xf numFmtId="167" fontId="0" fillId="13" borderId="1" xfId="0" applyNumberFormat="1" applyFill="1" applyBorder="1" applyAlignment="1">
      <alignment horizontal="center"/>
    </xf>
    <xf numFmtId="9" fontId="37" fillId="7" borderId="1" xfId="0" applyNumberFormat="1" applyFont="1" applyFill="1" applyBorder="1" applyAlignment="1">
      <alignment horizontal="center" vertical="center" wrapText="1"/>
    </xf>
    <xf numFmtId="168" fontId="0" fillId="8" borderId="1" xfId="0" applyNumberFormat="1" applyFill="1" applyBorder="1" applyAlignment="1">
      <alignment horizontal="center"/>
    </xf>
    <xf numFmtId="168" fontId="0" fillId="0" borderId="1" xfId="0" applyNumberFormat="1" applyBorder="1" applyAlignment="1">
      <alignment horizontal="center"/>
    </xf>
    <xf numFmtId="168" fontId="0" fillId="0" borderId="0" xfId="0" applyNumberFormat="1" applyAlignment="1">
      <alignment horizontal="center"/>
    </xf>
    <xf numFmtId="168" fontId="0" fillId="0" borderId="0" xfId="0" applyNumberFormat="1"/>
    <xf numFmtId="168" fontId="0" fillId="0" borderId="0" xfId="0" applyNumberFormat="1" applyAlignment="1">
      <alignment wrapText="1"/>
    </xf>
    <xf numFmtId="0" fontId="0" fillId="0" borderId="3" xfId="0" applyBorder="1" applyAlignment="1">
      <alignment horizontal="left" vertical="center" wrapText="1"/>
    </xf>
    <xf numFmtId="168" fontId="0" fillId="0" borderId="1" xfId="0" applyNumberFormat="1" applyBorder="1" applyAlignment="1">
      <alignment horizontal="center" vertical="center" wrapText="1"/>
    </xf>
    <xf numFmtId="168" fontId="0" fillId="0" borderId="1" xfId="0" applyNumberFormat="1" applyBorder="1" applyAlignment="1">
      <alignment horizontal="center" vertical="center"/>
    </xf>
    <xf numFmtId="168" fontId="0" fillId="0" borderId="0" xfId="0" applyNumberFormat="1" applyAlignment="1">
      <alignment horizontal="center" vertical="center"/>
    </xf>
    <xf numFmtId="168" fontId="0" fillId="8" borderId="1" xfId="0" applyNumberFormat="1" applyFill="1" applyBorder="1" applyAlignment="1">
      <alignment horizontal="center" wrapText="1"/>
    </xf>
    <xf numFmtId="167" fontId="21" fillId="8" borderId="27" xfId="0" applyNumberFormat="1" applyFont="1" applyFill="1" applyBorder="1" applyAlignment="1">
      <alignment horizontal="center"/>
    </xf>
    <xf numFmtId="167" fontId="15" fillId="0" borderId="0" xfId="0" applyNumberFormat="1" applyFont="1"/>
    <xf numFmtId="0" fontId="15" fillId="0" borderId="0" xfId="0" applyFont="1" applyAlignment="1">
      <alignment horizontal="left"/>
    </xf>
    <xf numFmtId="4" fontId="3" fillId="2" borderId="1" xfId="0" applyNumberFormat="1" applyFont="1" applyFill="1" applyBorder="1" applyAlignment="1">
      <alignment horizontal="center"/>
    </xf>
    <xf numFmtId="0" fontId="15" fillId="0" borderId="40" xfId="0" applyFont="1" applyBorder="1" applyAlignment="1">
      <alignment horizontal="center"/>
    </xf>
    <xf numFmtId="0" fontId="15" fillId="0" borderId="11" xfId="0" applyFont="1" applyBorder="1" applyAlignment="1">
      <alignment horizontal="center"/>
    </xf>
    <xf numFmtId="0" fontId="15" fillId="0" borderId="12" xfId="0" applyFont="1" applyBorder="1" applyAlignment="1">
      <alignment horizontal="center"/>
    </xf>
    <xf numFmtId="168" fontId="15" fillId="12" borderId="1" xfId="0" applyNumberFormat="1" applyFont="1" applyFill="1" applyBorder="1" applyAlignment="1">
      <alignment horizontal="center" wrapText="1"/>
    </xf>
    <xf numFmtId="168" fontId="20" fillId="12" borderId="1" xfId="2" applyNumberFormat="1" applyFont="1" applyFill="1" applyBorder="1" applyAlignment="1">
      <alignment horizontal="center"/>
    </xf>
    <xf numFmtId="168" fontId="20" fillId="12" borderId="8" xfId="2" applyNumberFormat="1" applyFont="1" applyFill="1" applyBorder="1" applyAlignment="1">
      <alignment horizontal="center"/>
    </xf>
    <xf numFmtId="169" fontId="7" fillId="8" borderId="27" xfId="0" applyNumberFormat="1" applyFont="1" applyFill="1" applyBorder="1" applyAlignment="1">
      <alignment horizontal="center"/>
    </xf>
    <xf numFmtId="169" fontId="7" fillId="8" borderId="28" xfId="0" applyNumberFormat="1" applyFont="1" applyFill="1" applyBorder="1" applyAlignment="1">
      <alignment horizontal="center"/>
    </xf>
    <xf numFmtId="167" fontId="7" fillId="8" borderId="27" xfId="0" applyNumberFormat="1" applyFont="1" applyFill="1" applyBorder="1" applyAlignment="1">
      <alignment horizontal="center"/>
    </xf>
    <xf numFmtId="167" fontId="7" fillId="8" borderId="37" xfId="0" applyNumberFormat="1" applyFont="1" applyFill="1" applyBorder="1" applyAlignment="1">
      <alignment horizontal="center"/>
    </xf>
    <xf numFmtId="167" fontId="7" fillId="8" borderId="38" xfId="0" applyNumberFormat="1" applyFont="1" applyFill="1" applyBorder="1" applyAlignment="1">
      <alignment horizontal="center"/>
    </xf>
    <xf numFmtId="0" fontId="15" fillId="12" borderId="3" xfId="0" applyFont="1" applyFill="1" applyBorder="1" applyAlignment="1">
      <alignment horizontal="center" wrapText="1"/>
    </xf>
    <xf numFmtId="0" fontId="15" fillId="12" borderId="9" xfId="0" applyFont="1" applyFill="1" applyBorder="1" applyAlignment="1">
      <alignment horizontal="center" wrapText="1"/>
    </xf>
    <xf numFmtId="168" fontId="20" fillId="12" borderId="4" xfId="2" applyNumberFormat="1" applyFont="1" applyFill="1" applyBorder="1" applyAlignment="1">
      <alignment horizontal="center"/>
    </xf>
    <xf numFmtId="168" fontId="20" fillId="12" borderId="35" xfId="2" applyNumberFormat="1" applyFont="1" applyFill="1" applyBorder="1" applyAlignment="1">
      <alignment horizontal="center"/>
    </xf>
    <xf numFmtId="169" fontId="7" fillId="8" borderId="29" xfId="0" applyNumberFormat="1" applyFont="1" applyFill="1" applyBorder="1" applyAlignment="1">
      <alignment horizontal="center"/>
    </xf>
    <xf numFmtId="3" fontId="25" fillId="8" borderId="30" xfId="0" applyNumberFormat="1" applyFont="1" applyFill="1" applyBorder="1" applyAlignment="1">
      <alignment horizontal="right"/>
    </xf>
    <xf numFmtId="3" fontId="25" fillId="0" borderId="30" xfId="0" applyNumberFormat="1" applyFont="1" applyBorder="1" applyAlignment="1">
      <alignment horizontal="right"/>
    </xf>
    <xf numFmtId="3" fontId="27" fillId="9" borderId="37" xfId="0" applyNumberFormat="1" applyFont="1" applyFill="1" applyBorder="1" applyAlignment="1">
      <alignment horizontal="right"/>
    </xf>
    <xf numFmtId="1" fontId="27" fillId="9" borderId="37" xfId="0" applyNumberFormat="1" applyFont="1" applyFill="1" applyBorder="1" applyAlignment="1">
      <alignment horizontal="right"/>
    </xf>
    <xf numFmtId="1" fontId="25" fillId="9" borderId="37" xfId="0" applyNumberFormat="1" applyFont="1" applyFill="1" applyBorder="1" applyAlignment="1">
      <alignment horizontal="right"/>
    </xf>
    <xf numFmtId="1" fontId="25" fillId="9" borderId="41" xfId="0" applyNumberFormat="1" applyFont="1" applyFill="1" applyBorder="1" applyAlignment="1">
      <alignment horizontal="right"/>
    </xf>
    <xf numFmtId="2" fontId="25" fillId="0" borderId="19" xfId="0" applyNumberFormat="1" applyFont="1" applyBorder="1" applyAlignment="1">
      <alignment horizontal="left" vertical="top" wrapText="1"/>
    </xf>
    <xf numFmtId="0" fontId="26" fillId="3" borderId="30" xfId="0" applyFont="1" applyFill="1" applyBorder="1" applyAlignment="1">
      <alignment horizontal="left" vertical="center"/>
    </xf>
    <xf numFmtId="0" fontId="26" fillId="3" borderId="30" xfId="0" applyFont="1" applyFill="1" applyBorder="1" applyAlignment="1">
      <alignment horizontal="right" vertical="center"/>
    </xf>
    <xf numFmtId="0" fontId="26" fillId="3" borderId="30" xfId="0" applyFont="1" applyFill="1" applyBorder="1" applyAlignment="1">
      <alignment horizontal="center" vertical="center"/>
    </xf>
    <xf numFmtId="3" fontId="34" fillId="3" borderId="30" xfId="0" applyNumberFormat="1" applyFont="1" applyFill="1" applyBorder="1" applyAlignment="1">
      <alignment horizontal="right" vertical="center"/>
    </xf>
    <xf numFmtId="1" fontId="34" fillId="3" borderId="30" xfId="0" applyNumberFormat="1" applyFont="1" applyFill="1" applyBorder="1" applyAlignment="1">
      <alignment horizontal="right" vertical="center"/>
    </xf>
    <xf numFmtId="1" fontId="26" fillId="3" borderId="30" xfId="0" applyNumberFormat="1" applyFont="1" applyFill="1" applyBorder="1" applyAlignment="1">
      <alignment horizontal="right" vertical="center"/>
    </xf>
    <xf numFmtId="0" fontId="21" fillId="2" borderId="42" xfId="0" applyFont="1" applyFill="1" applyBorder="1" applyAlignment="1">
      <alignment horizontal="center" vertical="center" wrapText="1"/>
    </xf>
    <xf numFmtId="168" fontId="15" fillId="12" borderId="43" xfId="0" applyNumberFormat="1" applyFont="1" applyFill="1" applyBorder="1" applyAlignment="1">
      <alignment horizontal="center" wrapText="1"/>
    </xf>
    <xf numFmtId="168" fontId="15" fillId="12" borderId="44" xfId="0" applyNumberFormat="1" applyFont="1" applyFill="1" applyBorder="1" applyAlignment="1">
      <alignment horizontal="center" wrapText="1"/>
    </xf>
    <xf numFmtId="169" fontId="7" fillId="8" borderId="45" xfId="0" applyNumberFormat="1" applyFont="1" applyFill="1" applyBorder="1" applyAlignment="1">
      <alignment horizontal="center"/>
    </xf>
    <xf numFmtId="167" fontId="3" fillId="13" borderId="1" xfId="0" applyNumberFormat="1" applyFont="1" applyFill="1" applyBorder="1" applyAlignment="1">
      <alignment horizontal="center"/>
    </xf>
    <xf numFmtId="3" fontId="0" fillId="0" borderId="0" xfId="0" applyNumberFormat="1"/>
    <xf numFmtId="0" fontId="6" fillId="2" borderId="0" xfId="0" applyFont="1" applyFill="1" applyAlignment="1">
      <alignment horizontal="center" vertical="center" wrapText="1" readingOrder="1"/>
    </xf>
    <xf numFmtId="0" fontId="38" fillId="0" borderId="0" xfId="0" applyFont="1"/>
    <xf numFmtId="168" fontId="39" fillId="8" borderId="1" xfId="0" applyNumberFormat="1" applyFont="1" applyFill="1" applyBorder="1" applyAlignment="1">
      <alignment horizontal="left"/>
    </xf>
    <xf numFmtId="0" fontId="6" fillId="2" borderId="33" xfId="0" applyFont="1" applyFill="1" applyBorder="1" applyAlignment="1">
      <alignment horizontal="left" vertical="center" wrapText="1" readingOrder="1"/>
    </xf>
    <xf numFmtId="0" fontId="0" fillId="15" borderId="0" xfId="0" applyFill="1"/>
    <xf numFmtId="0" fontId="15" fillId="0" borderId="6" xfId="0" applyFont="1" applyBorder="1"/>
    <xf numFmtId="0" fontId="21" fillId="2" borderId="47" xfId="0" applyFont="1" applyFill="1" applyBorder="1" applyAlignment="1">
      <alignment horizontal="center" vertical="center" wrapText="1"/>
    </xf>
    <xf numFmtId="9" fontId="26" fillId="2" borderId="1" xfId="0" applyNumberFormat="1" applyFont="1" applyFill="1" applyBorder="1" applyAlignment="1">
      <alignment horizontal="center" vertical="center"/>
    </xf>
    <xf numFmtId="165" fontId="26" fillId="2" borderId="9" xfId="0" applyNumberFormat="1" applyFont="1" applyFill="1" applyBorder="1" applyAlignment="1">
      <alignment horizontal="center" vertical="center" wrapText="1"/>
    </xf>
    <xf numFmtId="0" fontId="35" fillId="7"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4" fillId="0" borderId="0" xfId="0" applyFont="1"/>
    <xf numFmtId="0" fontId="15" fillId="0" borderId="36" xfId="0" applyFont="1" applyBorder="1"/>
    <xf numFmtId="0" fontId="0" fillId="5" borderId="1" xfId="0" applyFill="1" applyBorder="1"/>
    <xf numFmtId="0" fontId="0" fillId="7" borderId="1" xfId="0" applyFill="1" applyBorder="1"/>
    <xf numFmtId="0" fontId="0" fillId="0" borderId="26" xfId="0" applyBorder="1" applyAlignment="1">
      <alignment horizontal="left" vertical="center" wrapText="1"/>
    </xf>
    <xf numFmtId="2" fontId="0" fillId="0" borderId="27" xfId="0" applyNumberFormat="1" applyBorder="1" applyAlignment="1">
      <alignment horizontal="center" vertical="center"/>
    </xf>
    <xf numFmtId="0" fontId="0" fillId="0" borderId="48" xfId="0" applyBorder="1" applyAlignment="1">
      <alignment horizontal="left" vertical="center" wrapText="1"/>
    </xf>
    <xf numFmtId="2" fontId="0" fillId="0" borderId="49" xfId="0" applyNumberFormat="1" applyBorder="1" applyAlignment="1">
      <alignment horizontal="center" vertical="center"/>
    </xf>
    <xf numFmtId="0" fontId="0" fillId="0" borderId="51" xfId="0" applyBorder="1" applyAlignment="1">
      <alignment horizontal="left" vertical="center" wrapText="1"/>
    </xf>
    <xf numFmtId="0" fontId="0" fillId="0" borderId="53" xfId="0" applyBorder="1" applyAlignment="1">
      <alignment horizontal="left" vertical="center" wrapText="1"/>
    </xf>
    <xf numFmtId="2" fontId="0" fillId="0" borderId="30" xfId="0" applyNumberFormat="1" applyBorder="1" applyAlignment="1">
      <alignment horizontal="center" vertical="center"/>
    </xf>
    <xf numFmtId="0" fontId="3" fillId="2" borderId="26" xfId="0" applyFont="1" applyFill="1" applyBorder="1" applyAlignment="1">
      <alignment vertical="center" wrapText="1"/>
    </xf>
    <xf numFmtId="0" fontId="3" fillId="2" borderId="27" xfId="0" applyFont="1" applyFill="1" applyBorder="1" applyAlignment="1">
      <alignment horizontal="center" vertical="center"/>
    </xf>
    <xf numFmtId="0" fontId="3" fillId="2" borderId="48" xfId="0" applyFont="1" applyFill="1" applyBorder="1" applyAlignment="1">
      <alignment vertical="center" wrapText="1"/>
    </xf>
    <xf numFmtId="0" fontId="3" fillId="2" borderId="49" xfId="0" applyFont="1" applyFill="1" applyBorder="1" applyAlignment="1">
      <alignment horizontal="center" vertical="center"/>
    </xf>
    <xf numFmtId="2" fontId="0" fillId="8" borderId="30" xfId="0" applyNumberFormat="1" applyFill="1" applyBorder="1" applyAlignment="1">
      <alignment horizontal="center" vertical="center"/>
    </xf>
    <xf numFmtId="0" fontId="3" fillId="2" borderId="27" xfId="0" applyFont="1" applyFill="1" applyBorder="1" applyAlignment="1">
      <alignment horizontal="center" vertical="center" wrapText="1"/>
    </xf>
    <xf numFmtId="0" fontId="0" fillId="0" borderId="48" xfId="0" applyBorder="1" applyAlignment="1">
      <alignment vertical="center" wrapText="1"/>
    </xf>
    <xf numFmtId="167" fontId="0" fillId="11" borderId="49" xfId="0" applyNumberFormat="1" applyFill="1" applyBorder="1" applyAlignment="1">
      <alignment horizontal="center" vertical="center"/>
    </xf>
    <xf numFmtId="0" fontId="0" fillId="0" borderId="53" xfId="0" applyBorder="1" applyAlignment="1">
      <alignment vertical="center" wrapText="1"/>
    </xf>
    <xf numFmtId="167" fontId="0" fillId="11" borderId="30" xfId="0" applyNumberFormat="1" applyFill="1" applyBorder="1" applyAlignment="1">
      <alignment horizontal="center" vertical="center"/>
    </xf>
    <xf numFmtId="167" fontId="0" fillId="0" borderId="49" xfId="0" applyNumberFormat="1" applyBorder="1" applyAlignment="1">
      <alignment horizontal="center" vertical="center"/>
    </xf>
    <xf numFmtId="0" fontId="0" fillId="0" borderId="51" xfId="0" applyBorder="1" applyAlignment="1">
      <alignment vertical="center" wrapText="1"/>
    </xf>
    <xf numFmtId="167" fontId="0" fillId="0" borderId="30" xfId="0" applyNumberFormat="1" applyBorder="1" applyAlignment="1">
      <alignment horizontal="center" vertical="center"/>
    </xf>
    <xf numFmtId="0" fontId="0" fillId="0" borderId="26" xfId="0" applyBorder="1" applyAlignment="1">
      <alignment vertical="center" wrapText="1"/>
    </xf>
    <xf numFmtId="0" fontId="0" fillId="8" borderId="28" xfId="0" applyFill="1" applyBorder="1" applyAlignment="1">
      <alignment horizontal="center" vertical="center"/>
    </xf>
    <xf numFmtId="0" fontId="0" fillId="5" borderId="3" xfId="0" applyFill="1" applyBorder="1" applyAlignment="1">
      <alignment horizontal="left"/>
    </xf>
    <xf numFmtId="0" fontId="0" fillId="5" borderId="4" xfId="0" applyFill="1" applyBorder="1" applyAlignment="1">
      <alignment horizontal="left"/>
    </xf>
    <xf numFmtId="0" fontId="0" fillId="7" borderId="3" xfId="0" applyFill="1" applyBorder="1" applyAlignment="1">
      <alignment horizontal="center"/>
    </xf>
    <xf numFmtId="0" fontId="0" fillId="7" borderId="4" xfId="0" applyFill="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3" fillId="7" borderId="2" xfId="0" applyFont="1" applyFill="1" applyBorder="1" applyAlignment="1">
      <alignment horizontal="center"/>
    </xf>
    <xf numFmtId="0" fontId="3" fillId="7" borderId="36" xfId="0" applyFont="1" applyFill="1" applyBorder="1" applyAlignment="1">
      <alignment horizontal="center"/>
    </xf>
    <xf numFmtId="0" fontId="7" fillId="0" borderId="25" xfId="4" applyFont="1" applyBorder="1" applyAlignment="1">
      <alignment horizontal="left" vertical="center"/>
    </xf>
    <xf numFmtId="0" fontId="22" fillId="14" borderId="0" xfId="0" applyFont="1" applyFill="1" applyAlignment="1">
      <alignment horizontal="center"/>
    </xf>
    <xf numFmtId="0" fontId="22" fillId="14" borderId="0" xfId="0" applyFont="1" applyFill="1" applyAlignment="1">
      <alignment horizontal="left"/>
    </xf>
    <xf numFmtId="0" fontId="7" fillId="0" borderId="0" xfId="4" applyFont="1" applyAlignment="1"/>
    <xf numFmtId="0" fontId="7" fillId="0" borderId="25" xfId="4" applyFont="1" applyFill="1" applyBorder="1" applyAlignment="1">
      <alignment horizontal="left" vertical="center"/>
    </xf>
    <xf numFmtId="0" fontId="26" fillId="2" borderId="3" xfId="0" applyFont="1" applyFill="1" applyBorder="1" applyAlignment="1">
      <alignment horizontal="center" vertical="center" wrapText="1"/>
    </xf>
    <xf numFmtId="0" fontId="26" fillId="2" borderId="5" xfId="0" applyFont="1" applyFill="1" applyBorder="1" applyAlignment="1">
      <alignment horizontal="center" vertical="center" wrapText="1"/>
    </xf>
    <xf numFmtId="0" fontId="26" fillId="2" borderId="4" xfId="0" applyFont="1" applyFill="1" applyBorder="1" applyAlignment="1">
      <alignment horizontal="center" vertical="center" wrapText="1"/>
    </xf>
    <xf numFmtId="0" fontId="0" fillId="0" borderId="3" xfId="0" applyBorder="1" applyAlignment="1">
      <alignment horizontal="left" vertical="center"/>
    </xf>
    <xf numFmtId="0" fontId="0" fillId="0" borderId="57" xfId="0" applyBorder="1" applyAlignment="1">
      <alignment horizontal="left" vertical="center"/>
    </xf>
    <xf numFmtId="0" fontId="0" fillId="0" borderId="32" xfId="0" applyBorder="1" applyAlignment="1">
      <alignment horizontal="left" vertical="center"/>
    </xf>
    <xf numFmtId="0" fontId="0" fillId="0" borderId="58" xfId="0" applyBorder="1" applyAlignment="1">
      <alignment horizontal="left" vertical="center"/>
    </xf>
    <xf numFmtId="0" fontId="0" fillId="0" borderId="27" xfId="0" applyBorder="1" applyAlignment="1">
      <alignment horizontal="center"/>
    </xf>
    <xf numFmtId="0" fontId="0" fillId="0" borderId="28" xfId="0" applyBorder="1" applyAlignment="1">
      <alignment horizontal="center"/>
    </xf>
    <xf numFmtId="0" fontId="0" fillId="0" borderId="55" xfId="0" applyBorder="1" applyAlignment="1">
      <alignment horizontal="left" vertical="center"/>
    </xf>
    <xf numFmtId="0" fontId="0" fillId="0" borderId="56" xfId="0" applyBorder="1" applyAlignment="1">
      <alignment horizontal="left" vertical="center"/>
    </xf>
    <xf numFmtId="0" fontId="3" fillId="2" borderId="40" xfId="0" applyFont="1" applyFill="1" applyBorder="1" applyAlignment="1">
      <alignment horizontal="left" vertical="center" wrapText="1"/>
    </xf>
    <xf numFmtId="0" fontId="3" fillId="2" borderId="12" xfId="0" applyFont="1" applyFill="1" applyBorder="1" applyAlignment="1">
      <alignment horizontal="left" vertical="center" wrapText="1"/>
    </xf>
    <xf numFmtId="0" fontId="0" fillId="0" borderId="40" xfId="0" applyBorder="1" applyAlignment="1">
      <alignment horizontal="left" vertical="center" wrapText="1"/>
    </xf>
    <xf numFmtId="0" fontId="0" fillId="0" borderId="12" xfId="0" applyBorder="1" applyAlignment="1">
      <alignment horizontal="left" vertical="center" wrapText="1"/>
    </xf>
    <xf numFmtId="0" fontId="0" fillId="0" borderId="49" xfId="0" applyBorder="1" applyAlignment="1">
      <alignment horizontal="left" vertical="center" wrapText="1"/>
    </xf>
    <xf numFmtId="0" fontId="0" fillId="0" borderId="50" xfId="0" applyBorder="1" applyAlignment="1">
      <alignment horizontal="left" vertical="center" wrapText="1"/>
    </xf>
    <xf numFmtId="0" fontId="3" fillId="2" borderId="55" xfId="0" applyFont="1" applyFill="1" applyBorder="1" applyAlignment="1">
      <alignment horizontal="left" vertical="center" wrapText="1"/>
    </xf>
    <xf numFmtId="0" fontId="3" fillId="2" borderId="56" xfId="0" applyFont="1" applyFill="1" applyBorder="1" applyAlignment="1">
      <alignment horizontal="left" vertical="center" wrapText="1"/>
    </xf>
    <xf numFmtId="0" fontId="0" fillId="0" borderId="3" xfId="0" applyBorder="1" applyAlignment="1">
      <alignment horizontal="left" vertical="center" wrapText="1"/>
    </xf>
    <xf numFmtId="0" fontId="0" fillId="0" borderId="57" xfId="0" applyBorder="1" applyAlignment="1">
      <alignment horizontal="left" vertical="center" wrapText="1"/>
    </xf>
    <xf numFmtId="0" fontId="0" fillId="0" borderId="32" xfId="0" applyBorder="1" applyAlignment="1">
      <alignment horizontal="left" vertical="center" wrapText="1"/>
    </xf>
    <xf numFmtId="0" fontId="0" fillId="0" borderId="58" xfId="0" applyBorder="1" applyAlignment="1">
      <alignment horizontal="left" vertical="center" wrapText="1"/>
    </xf>
    <xf numFmtId="0" fontId="0" fillId="0" borderId="1" xfId="0" applyBorder="1" applyAlignment="1">
      <alignment horizontal="left" vertical="center" wrapText="1"/>
    </xf>
    <xf numFmtId="0" fontId="0" fillId="0" borderId="52" xfId="0" applyBorder="1" applyAlignment="1">
      <alignment horizontal="left" vertical="center" wrapText="1"/>
    </xf>
    <xf numFmtId="0" fontId="0" fillId="0" borderId="30" xfId="0" applyBorder="1" applyAlignment="1">
      <alignment horizontal="left" vertical="center" wrapText="1"/>
    </xf>
    <xf numFmtId="0" fontId="0" fillId="0" borderId="54" xfId="0" applyBorder="1" applyAlignment="1">
      <alignment horizontal="left" vertical="center" wrapText="1"/>
    </xf>
    <xf numFmtId="0" fontId="15" fillId="0" borderId="3" xfId="0" applyFont="1" applyBorder="1" applyAlignment="1">
      <alignment horizontal="left"/>
    </xf>
    <xf numFmtId="0" fontId="15" fillId="0" borderId="4" xfId="0" applyFont="1" applyBorder="1" applyAlignment="1">
      <alignment horizontal="left"/>
    </xf>
    <xf numFmtId="0" fontId="21" fillId="2" borderId="3" xfId="0" applyFont="1" applyFill="1" applyBorder="1" applyAlignment="1">
      <alignment horizontal="center" vertical="center" wrapText="1"/>
    </xf>
    <xf numFmtId="0" fontId="21" fillId="2" borderId="5" xfId="0" applyFont="1" applyFill="1" applyBorder="1" applyAlignment="1">
      <alignment horizontal="center" vertical="center" wrapText="1"/>
    </xf>
    <xf numFmtId="0" fontId="21" fillId="2" borderId="4" xfId="0" applyFont="1" applyFill="1" applyBorder="1" applyAlignment="1">
      <alignment horizontal="center" vertical="center" wrapText="1"/>
    </xf>
    <xf numFmtId="0" fontId="15" fillId="0" borderId="1" xfId="0" applyFont="1" applyBorder="1" applyAlignment="1">
      <alignment horizontal="left"/>
    </xf>
    <xf numFmtId="0" fontId="7" fillId="8" borderId="10" xfId="0" applyFont="1" applyFill="1" applyBorder="1" applyAlignment="1">
      <alignment horizontal="left"/>
    </xf>
    <xf numFmtId="0" fontId="7" fillId="8" borderId="11" xfId="0" applyFont="1" applyFill="1" applyBorder="1" applyAlignment="1">
      <alignment horizontal="left"/>
    </xf>
    <xf numFmtId="0" fontId="7" fillId="8" borderId="29" xfId="0" applyFont="1" applyFill="1" applyBorder="1" applyAlignment="1">
      <alignment horizontal="left"/>
    </xf>
    <xf numFmtId="9" fontId="21" fillId="2" borderId="1" xfId="0" applyNumberFormat="1" applyFont="1" applyFill="1" applyBorder="1" applyAlignment="1">
      <alignment horizontal="center" vertical="center"/>
    </xf>
    <xf numFmtId="9" fontId="21" fillId="2" borderId="3" xfId="0" applyNumberFormat="1" applyFont="1" applyFill="1" applyBorder="1" applyAlignment="1">
      <alignment horizontal="left" vertical="center"/>
    </xf>
    <xf numFmtId="9" fontId="21" fillId="2" borderId="4" xfId="0" applyNumberFormat="1" applyFont="1" applyFill="1" applyBorder="1" applyAlignment="1">
      <alignment horizontal="left" vertical="center"/>
    </xf>
    <xf numFmtId="0" fontId="21" fillId="2" borderId="9" xfId="0" applyFont="1" applyFill="1" applyBorder="1" applyAlignment="1">
      <alignment horizontal="left" vertical="center" wrapText="1"/>
    </xf>
    <xf numFmtId="0" fontId="21" fillId="2" borderId="34" xfId="0" applyFont="1" applyFill="1" applyBorder="1" applyAlignment="1">
      <alignment horizontal="left" vertical="center" wrapText="1"/>
    </xf>
    <xf numFmtId="0" fontId="21" fillId="2" borderId="7" xfId="0" applyFont="1" applyFill="1" applyBorder="1" applyAlignment="1">
      <alignment horizontal="left" vertical="center" wrapText="1"/>
    </xf>
    <xf numFmtId="0" fontId="21" fillId="2" borderId="0" xfId="0" applyFont="1" applyFill="1" applyAlignment="1">
      <alignment horizontal="left" vertical="center" wrapText="1"/>
    </xf>
    <xf numFmtId="0" fontId="21" fillId="2" borderId="2" xfId="0" applyFont="1" applyFill="1" applyBorder="1" applyAlignment="1">
      <alignment horizontal="left" vertical="center" wrapText="1"/>
    </xf>
    <xf numFmtId="0" fontId="21" fillId="2" borderId="33" xfId="0" applyFont="1" applyFill="1" applyBorder="1" applyAlignment="1">
      <alignment horizontal="left" vertical="center" wrapText="1"/>
    </xf>
    <xf numFmtId="0" fontId="15" fillId="0" borderId="1" xfId="0" quotePrefix="1" applyFont="1" applyBorder="1" applyAlignment="1">
      <alignment horizontal="left"/>
    </xf>
    <xf numFmtId="0" fontId="15" fillId="0" borderId="3" xfId="0" quotePrefix="1" applyFont="1" applyBorder="1" applyAlignment="1">
      <alignment horizontal="left"/>
    </xf>
    <xf numFmtId="0" fontId="15" fillId="0" borderId="5" xfId="0" quotePrefix="1" applyFont="1" applyBorder="1" applyAlignment="1">
      <alignment horizontal="left"/>
    </xf>
    <xf numFmtId="0" fontId="15" fillId="0" borderId="4" xfId="0" quotePrefix="1" applyFont="1" applyBorder="1" applyAlignment="1">
      <alignment horizontal="left"/>
    </xf>
    <xf numFmtId="9" fontId="21" fillId="2" borderId="9" xfId="0" applyNumberFormat="1" applyFont="1" applyFill="1" applyBorder="1" applyAlignment="1">
      <alignment horizontal="center" vertical="center"/>
    </xf>
    <xf numFmtId="9" fontId="21" fillId="2" borderId="34" xfId="0" applyNumberFormat="1" applyFont="1" applyFill="1" applyBorder="1" applyAlignment="1">
      <alignment horizontal="center" vertical="center"/>
    </xf>
    <xf numFmtId="9" fontId="21" fillId="2" borderId="5" xfId="0" applyNumberFormat="1" applyFont="1" applyFill="1" applyBorder="1" applyAlignment="1">
      <alignment horizontal="center" vertical="center"/>
    </xf>
    <xf numFmtId="9" fontId="21" fillId="2" borderId="4" xfId="0" applyNumberFormat="1" applyFont="1" applyFill="1" applyBorder="1" applyAlignment="1">
      <alignment horizontal="center" vertical="center"/>
    </xf>
    <xf numFmtId="0" fontId="21" fillId="2" borderId="9" xfId="0" applyFont="1" applyFill="1" applyBorder="1" applyAlignment="1">
      <alignment horizontal="center" vertical="center" wrapText="1"/>
    </xf>
    <xf numFmtId="0" fontId="21" fillId="2" borderId="0" xfId="0" applyFont="1" applyFill="1" applyAlignment="1">
      <alignment horizontal="center" vertical="center" wrapText="1"/>
    </xf>
    <xf numFmtId="0" fontId="21" fillId="2" borderId="33" xfId="0" applyFont="1" applyFill="1" applyBorder="1" applyAlignment="1">
      <alignment horizontal="center" vertical="center" wrapText="1"/>
    </xf>
    <xf numFmtId="0" fontId="21" fillId="2" borderId="46" xfId="0" applyFont="1" applyFill="1" applyBorder="1" applyAlignment="1">
      <alignment horizontal="center" vertical="center" wrapText="1"/>
    </xf>
    <xf numFmtId="0" fontId="21" fillId="2" borderId="36" xfId="0" applyFont="1" applyFill="1" applyBorder="1" applyAlignment="1">
      <alignment horizontal="center" vertical="center" wrapText="1"/>
    </xf>
    <xf numFmtId="0" fontId="21" fillId="2" borderId="2" xfId="0" applyFont="1" applyFill="1" applyBorder="1" applyAlignment="1">
      <alignment horizontal="center" vertical="center" wrapText="1"/>
    </xf>
    <xf numFmtId="0" fontId="21" fillId="2" borderId="8" xfId="0" applyFont="1" applyFill="1" applyBorder="1" applyAlignment="1">
      <alignment horizontal="center" vertical="center" wrapText="1"/>
    </xf>
    <xf numFmtId="0" fontId="21" fillId="2" borderId="6"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3" fillId="2" borderId="1" xfId="0" applyFont="1" applyFill="1" applyBorder="1" applyAlignment="1">
      <alignment horizontal="left"/>
    </xf>
    <xf numFmtId="0" fontId="3" fillId="0" borderId="7" xfId="0" applyFont="1" applyBorder="1" applyAlignment="1">
      <alignment horizontal="left"/>
    </xf>
    <xf numFmtId="0" fontId="3" fillId="0" borderId="0" xfId="0" applyFont="1" applyAlignment="1">
      <alignment horizontal="left"/>
    </xf>
    <xf numFmtId="0" fontId="3" fillId="0" borderId="3" xfId="0" applyFont="1" applyBorder="1" applyAlignment="1">
      <alignment horizontal="left" wrapText="1"/>
    </xf>
    <xf numFmtId="0" fontId="3" fillId="0" borderId="4" xfId="0" applyFont="1" applyBorder="1" applyAlignment="1">
      <alignment horizontal="left" wrapText="1"/>
    </xf>
    <xf numFmtId="0" fontId="3" fillId="2" borderId="3" xfId="0" applyFont="1" applyFill="1" applyBorder="1" applyAlignment="1">
      <alignment horizontal="left" wrapText="1"/>
    </xf>
    <xf numFmtId="0" fontId="3" fillId="2" borderId="4" xfId="0" applyFont="1" applyFill="1" applyBorder="1" applyAlignment="1">
      <alignment horizontal="left" wrapText="1"/>
    </xf>
    <xf numFmtId="0" fontId="3" fillId="2" borderId="5" xfId="0" applyFont="1" applyFill="1" applyBorder="1" applyAlignment="1">
      <alignment horizontal="left" wrapText="1"/>
    </xf>
    <xf numFmtId="0" fontId="0" fillId="0" borderId="0" xfId="0" applyAlignment="1">
      <alignment horizontal="left" vertical="top" wrapText="1"/>
    </xf>
    <xf numFmtId="0" fontId="0" fillId="0" borderId="3" xfId="0" applyBorder="1" applyAlignment="1">
      <alignment horizontal="left" wrapText="1"/>
    </xf>
    <xf numFmtId="0" fontId="0" fillId="0" borderId="5" xfId="0" applyBorder="1" applyAlignment="1">
      <alignment horizontal="left" wrapText="1"/>
    </xf>
    <xf numFmtId="0" fontId="0" fillId="0" borderId="4" xfId="0" applyBorder="1" applyAlignment="1">
      <alignment horizontal="left" wrapText="1"/>
    </xf>
    <xf numFmtId="0" fontId="0" fillId="11" borderId="3" xfId="0" applyFill="1" applyBorder="1" applyAlignment="1">
      <alignment horizontal="left" wrapText="1"/>
    </xf>
    <xf numFmtId="0" fontId="0" fillId="11" borderId="4" xfId="0" applyFill="1" applyBorder="1" applyAlignment="1">
      <alignment horizontal="left" wrapText="1"/>
    </xf>
    <xf numFmtId="0" fontId="11" fillId="10" borderId="0" xfId="0" applyFont="1" applyFill="1" applyAlignment="1">
      <alignment horizontal="center" wrapText="1"/>
    </xf>
    <xf numFmtId="2" fontId="7" fillId="8" borderId="10" xfId="0" applyNumberFormat="1" applyFont="1" applyFill="1" applyBorder="1" applyAlignment="1"/>
    <xf numFmtId="2" fontId="7" fillId="8" borderId="11" xfId="0" applyNumberFormat="1" applyFont="1" applyFill="1" applyBorder="1" applyAlignment="1"/>
    <xf numFmtId="2" fontId="7" fillId="8" borderId="29" xfId="0" applyNumberFormat="1" applyFont="1" applyFill="1" applyBorder="1" applyAlignment="1"/>
    <xf numFmtId="2" fontId="7" fillId="8" borderId="18" xfId="0" applyNumberFormat="1" applyFont="1" applyFill="1" applyBorder="1" applyAlignment="1"/>
    <xf numFmtId="2" fontId="7" fillId="8" borderId="19" xfId="0" applyNumberFormat="1" applyFont="1" applyFill="1" applyBorder="1" applyAlignment="1"/>
    <xf numFmtId="2" fontId="7" fillId="8" borderId="39" xfId="0" applyNumberFormat="1" applyFont="1" applyFill="1" applyBorder="1" applyAlignment="1"/>
  </cellXfs>
  <cellStyles count="5">
    <cellStyle name="Comma 2" xfId="3" xr:uid="{CEAD748B-3770-417D-9B2F-96098F2D5472}"/>
    <cellStyle name="Currency" xfId="2" builtinId="4"/>
    <cellStyle name="Hyperlink" xfId="4" builtinId="8"/>
    <cellStyle name="Normal" xfId="0" builtinId="0"/>
    <cellStyle name="Percent" xfId="1" builtinId="5"/>
  </cellStyles>
  <dxfs count="19">
    <dxf>
      <font>
        <color theme="0"/>
      </font>
    </dxf>
    <dxf>
      <font>
        <color auto="1"/>
      </font>
    </dxf>
    <dxf>
      <font>
        <color theme="0"/>
      </font>
    </dxf>
    <dxf>
      <font>
        <color auto="1"/>
      </font>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theme="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9" defaultPivotStyle="PivotStyleLight16"/>
  <colors>
    <mruColors>
      <color rgb="FF9C0006"/>
      <color rgb="FFFFC7CE"/>
      <color rgb="FFFFFFCC"/>
      <color rgb="FFD51405"/>
      <color rgb="FFDA9694"/>
      <color rgb="FFFFFF99"/>
      <color rgb="FF92D050"/>
      <color rgb="FF70AD47"/>
      <color rgb="FF66FF99"/>
      <color rgb="FF00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3</xdr:col>
      <xdr:colOff>140970</xdr:colOff>
      <xdr:row>43</xdr:row>
      <xdr:rowOff>59055</xdr:rowOff>
    </xdr:from>
    <xdr:to>
      <xdr:col>12</xdr:col>
      <xdr:colOff>414570</xdr:colOff>
      <xdr:row>46</xdr:row>
      <xdr:rowOff>88265</xdr:rowOff>
    </xdr:to>
    <xdr:sp macro="" textlink="">
      <xdr:nvSpPr>
        <xdr:cNvPr id="75" name="TextBox 8">
          <a:extLst>
            <a:ext uri="{FF2B5EF4-FFF2-40B4-BE49-F238E27FC236}">
              <a16:creationId xmlns:a16="http://schemas.microsoft.com/office/drawing/2014/main" id="{00000000-0008-0000-0000-00004B000000}"/>
            </a:ext>
          </a:extLst>
        </xdr:cNvPr>
        <xdr:cNvSpPr txBox="1"/>
      </xdr:nvSpPr>
      <xdr:spPr>
        <a:xfrm>
          <a:off x="2626995" y="8688705"/>
          <a:ext cx="5760000" cy="600710"/>
        </a:xfrm>
        <a:prstGeom prst="rect">
          <a:avLst/>
        </a:prstGeom>
        <a:solidFill>
          <a:schemeClr val="bg1">
            <a:lumMod val="95000"/>
          </a:schemeClr>
        </a:solidFill>
        <a:ln w="1905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1100" b="1">
              <a:solidFill>
                <a:sysClr val="windowText" lastClr="000000"/>
              </a:solidFill>
            </a:rPr>
            <a:t>Guidelines Other Costs:</a:t>
          </a:r>
        </a:p>
        <a:p>
          <a:r>
            <a:rPr lang="en-US" sz="1100">
              <a:solidFill>
                <a:sysClr val="windowText" lastClr="000000"/>
              </a:solidFill>
              <a:effectLst/>
              <a:latin typeface="+mn-lt"/>
              <a:ea typeface="+mn-ea"/>
              <a:cs typeface="+mn-cs"/>
            </a:rPr>
            <a:t>- </a:t>
          </a:r>
          <a:r>
            <a:rPr lang="en-US" sz="1100">
              <a:solidFill>
                <a:schemeClr val="dk1"/>
              </a:solidFill>
              <a:effectLst/>
              <a:latin typeface="+mn-lt"/>
              <a:ea typeface="+mn-ea"/>
              <a:cs typeface="+mn-cs"/>
            </a:rPr>
            <a:t>Used</a:t>
          </a:r>
          <a:r>
            <a:rPr lang="en-US" sz="1100" baseline="0">
              <a:solidFill>
                <a:schemeClr val="dk1"/>
              </a:solidFill>
              <a:effectLst/>
              <a:latin typeface="+mn-lt"/>
              <a:ea typeface="+mn-ea"/>
              <a:cs typeface="+mn-cs"/>
            </a:rPr>
            <a:t> for other costs eg. Travel, New Hardware, Fixed price vendor deliverables</a:t>
          </a:r>
          <a:endParaRPr lang="da-DK">
            <a:effectLst/>
          </a:endParaRPr>
        </a:p>
        <a:p>
          <a:endParaRPr lang="da-DK" sz="1100">
            <a:solidFill>
              <a:srgbClr val="005426"/>
            </a:solidFill>
          </a:endParaRPr>
        </a:p>
      </xdr:txBody>
    </xdr:sp>
    <xdr:clientData/>
  </xdr:twoCellAnchor>
  <xdr:twoCellAnchor>
    <xdr:from>
      <xdr:col>3</xdr:col>
      <xdr:colOff>140970</xdr:colOff>
      <xdr:row>36</xdr:row>
      <xdr:rowOff>91441</xdr:rowOff>
    </xdr:from>
    <xdr:to>
      <xdr:col>12</xdr:col>
      <xdr:colOff>414570</xdr:colOff>
      <xdr:row>42</xdr:row>
      <xdr:rowOff>171451</xdr:rowOff>
    </xdr:to>
    <xdr:sp macro="" textlink="">
      <xdr:nvSpPr>
        <xdr:cNvPr id="74" name="TextBox 10">
          <a:extLst>
            <a:ext uri="{FF2B5EF4-FFF2-40B4-BE49-F238E27FC236}">
              <a16:creationId xmlns:a16="http://schemas.microsoft.com/office/drawing/2014/main" id="{00000000-0008-0000-0000-00004A000000}"/>
            </a:ext>
          </a:extLst>
        </xdr:cNvPr>
        <xdr:cNvSpPr txBox="1"/>
      </xdr:nvSpPr>
      <xdr:spPr>
        <a:xfrm>
          <a:off x="2626995" y="7387591"/>
          <a:ext cx="5760000" cy="1223010"/>
        </a:xfrm>
        <a:prstGeom prst="rect">
          <a:avLst/>
        </a:prstGeom>
        <a:solidFill>
          <a:schemeClr val="bg1">
            <a:lumMod val="95000"/>
          </a:schemeClr>
        </a:solidFill>
        <a:ln w="1905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1100" b="1">
              <a:solidFill>
                <a:sysClr val="windowText" lastClr="000000"/>
              </a:solidFill>
            </a:rPr>
            <a:t>Guidelines IT Services (OPS) cost:</a:t>
          </a:r>
        </a:p>
        <a:p>
          <a:r>
            <a:rPr lang="da-DK" sz="1100" b="0">
              <a:solidFill>
                <a:sysClr val="windowText" lastClr="000000"/>
              </a:solidFill>
            </a:rPr>
            <a:t>- Estimation and documention of Operational IT cost</a:t>
          </a:r>
          <a:r>
            <a:rPr lang="da-DK" sz="1100" b="0" baseline="0">
              <a:solidFill>
                <a:sysClr val="windowText" lastClr="000000"/>
              </a:solidFill>
            </a:rPr>
            <a:t> (L</a:t>
          </a:r>
          <a:r>
            <a:rPr lang="da-DK" sz="1100" baseline="0">
              <a:solidFill>
                <a:sysClr val="windowText" lastClr="000000"/>
              </a:solidFill>
              <a:effectLst/>
              <a:latin typeface="+mn-lt"/>
              <a:ea typeface="+mn-ea"/>
              <a:cs typeface="+mn-cs"/>
            </a:rPr>
            <a:t>icenses, Azure, Support, internal staff etc.)</a:t>
          </a:r>
        </a:p>
        <a:p>
          <a:r>
            <a:rPr lang="da-DK" sz="1100" baseline="0">
              <a:solidFill>
                <a:sysClr val="windowText" lastClr="000000"/>
              </a:solidFill>
              <a:effectLst/>
              <a:latin typeface="+mn-lt"/>
              <a:ea typeface="+mn-ea"/>
              <a:cs typeface="+mn-cs"/>
            </a:rPr>
            <a:t>- Use contact list to find relevant stakeholders in IT Services and align with them on input</a:t>
          </a:r>
        </a:p>
        <a:p>
          <a:endParaRPr lang="da-DK" sz="1100" b="1" i="1" baseline="0">
            <a:solidFill>
              <a:sysClr val="windowText" lastClr="000000"/>
            </a:solidFill>
          </a:endParaRPr>
        </a:p>
        <a:p>
          <a:r>
            <a:rPr lang="da-DK" sz="1100" b="0" baseline="0">
              <a:solidFill>
                <a:sysClr val="windowText" lastClr="000000"/>
              </a:solidFill>
            </a:rPr>
            <a:t>- Green              cells are mandatory for all to fill in</a:t>
          </a:r>
        </a:p>
        <a:p>
          <a:r>
            <a:rPr lang="da-DK" sz="1100" b="0" baseline="0">
              <a:solidFill>
                <a:sysClr val="windowText" lastClr="000000"/>
              </a:solidFill>
            </a:rPr>
            <a:t>- Yellow              cells are to be used for the cost estimation (and description text can be replaced)</a:t>
          </a:r>
        </a:p>
        <a:p>
          <a:endParaRPr lang="da-DK" sz="1100" b="0">
            <a:solidFill>
              <a:srgbClr val="005426"/>
            </a:solidFill>
          </a:endParaRPr>
        </a:p>
      </xdr:txBody>
    </xdr:sp>
    <xdr:clientData/>
  </xdr:twoCellAnchor>
  <xdr:twoCellAnchor>
    <xdr:from>
      <xdr:col>3</xdr:col>
      <xdr:colOff>140970</xdr:colOff>
      <xdr:row>52</xdr:row>
      <xdr:rowOff>161925</xdr:rowOff>
    </xdr:from>
    <xdr:to>
      <xdr:col>12</xdr:col>
      <xdr:colOff>414570</xdr:colOff>
      <xdr:row>56</xdr:row>
      <xdr:rowOff>46355</xdr:rowOff>
    </xdr:to>
    <xdr:sp macro="" textlink="">
      <xdr:nvSpPr>
        <xdr:cNvPr id="76" name="TextBox 11">
          <a:extLst>
            <a:ext uri="{FF2B5EF4-FFF2-40B4-BE49-F238E27FC236}">
              <a16:creationId xmlns:a16="http://schemas.microsoft.com/office/drawing/2014/main" id="{00000000-0008-0000-0000-00004C000000}"/>
            </a:ext>
          </a:extLst>
        </xdr:cNvPr>
        <xdr:cNvSpPr txBox="1"/>
      </xdr:nvSpPr>
      <xdr:spPr>
        <a:xfrm>
          <a:off x="2626995" y="10506075"/>
          <a:ext cx="5760000" cy="646430"/>
        </a:xfrm>
        <a:prstGeom prst="rect">
          <a:avLst/>
        </a:prstGeom>
        <a:solidFill>
          <a:schemeClr val="bg1">
            <a:lumMod val="95000"/>
          </a:schemeClr>
        </a:solidFill>
        <a:ln w="1905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1100" b="1">
              <a:solidFill>
                <a:schemeClr val="tx1"/>
              </a:solidFill>
            </a:rPr>
            <a:t>Guidelines CAPEX</a:t>
          </a:r>
          <a:r>
            <a:rPr lang="da-DK" sz="1100" b="1" baseline="0">
              <a:solidFill>
                <a:schemeClr val="tx1"/>
              </a:solidFill>
            </a:rPr>
            <a:t>Insights</a:t>
          </a:r>
          <a:r>
            <a:rPr lang="da-DK" sz="1100" b="1">
              <a:solidFill>
                <a:schemeClr val="tx1"/>
              </a:solidFill>
            </a:rPr>
            <a:t> Overview:</a:t>
          </a:r>
        </a:p>
        <a:p>
          <a:r>
            <a:rPr lang="da-DK" sz="1100">
              <a:solidFill>
                <a:schemeClr val="tx1"/>
              </a:solidFill>
              <a:effectLst/>
              <a:latin typeface="+mn-lt"/>
              <a:ea typeface="+mn-ea"/>
              <a:cs typeface="+mn-cs"/>
            </a:rPr>
            <a:t>- Automatically calculated based on Cost overview</a:t>
          </a:r>
        </a:p>
        <a:p>
          <a:r>
            <a:rPr lang="da-DK" sz="1100">
              <a:solidFill>
                <a:schemeClr val="tx1"/>
              </a:solidFill>
              <a:effectLst/>
              <a:latin typeface="+mn-lt"/>
              <a:ea typeface="+mn-ea"/>
              <a:cs typeface="+mn-cs"/>
            </a:rPr>
            <a:t>- Provides details for</a:t>
          </a:r>
          <a:r>
            <a:rPr lang="da-DK" sz="1100" baseline="0">
              <a:solidFill>
                <a:schemeClr val="tx1"/>
              </a:solidFill>
              <a:effectLst/>
              <a:latin typeface="+mn-lt"/>
              <a:ea typeface="+mn-ea"/>
              <a:cs typeface="+mn-cs"/>
            </a:rPr>
            <a:t> easy transfer of data to CAPEXInsights</a:t>
          </a:r>
        </a:p>
        <a:p>
          <a:endParaRPr lang="da-DK">
            <a:solidFill>
              <a:srgbClr val="005426"/>
            </a:solidFill>
            <a:effectLst/>
          </a:endParaRPr>
        </a:p>
      </xdr:txBody>
    </xdr:sp>
    <xdr:clientData/>
  </xdr:twoCellAnchor>
  <xdr:twoCellAnchor>
    <xdr:from>
      <xdr:col>3</xdr:col>
      <xdr:colOff>140970</xdr:colOff>
      <xdr:row>14</xdr:row>
      <xdr:rowOff>68582</xdr:rowOff>
    </xdr:from>
    <xdr:to>
      <xdr:col>12</xdr:col>
      <xdr:colOff>414570</xdr:colOff>
      <xdr:row>19</xdr:row>
      <xdr:rowOff>152400</xdr:rowOff>
    </xdr:to>
    <xdr:sp macro="" textlink="">
      <xdr:nvSpPr>
        <xdr:cNvPr id="2" name="TextBox 14">
          <a:extLst>
            <a:ext uri="{FF2B5EF4-FFF2-40B4-BE49-F238E27FC236}">
              <a16:creationId xmlns:a16="http://schemas.microsoft.com/office/drawing/2014/main" id="{00000000-0008-0000-0000-000002000000}"/>
            </a:ext>
          </a:extLst>
        </xdr:cNvPr>
        <xdr:cNvSpPr txBox="1"/>
      </xdr:nvSpPr>
      <xdr:spPr>
        <a:xfrm>
          <a:off x="2626995" y="2764157"/>
          <a:ext cx="5760000" cy="1369693"/>
        </a:xfrm>
        <a:prstGeom prst="rect">
          <a:avLst/>
        </a:prstGeom>
        <a:solidFill>
          <a:schemeClr val="bg1">
            <a:lumMod val="95000"/>
          </a:schemeClr>
        </a:solidFill>
        <a:ln w="1905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1100" b="1">
              <a:solidFill>
                <a:sysClr val="windowText" lastClr="000000"/>
              </a:solidFill>
            </a:rPr>
            <a:t>Guidelines Resource Estimates:</a:t>
          </a:r>
        </a:p>
        <a:p>
          <a:r>
            <a:rPr lang="en-US" sz="1100">
              <a:solidFill>
                <a:sysClr val="windowText" lastClr="000000"/>
              </a:solidFill>
              <a:effectLst/>
              <a:latin typeface="+mn-lt"/>
              <a:ea typeface="+mn-ea"/>
              <a:cs typeface="+mn-cs"/>
            </a:rPr>
            <a:t>- </a:t>
          </a:r>
          <a:r>
            <a:rPr lang="da-DK" sz="1100">
              <a:solidFill>
                <a:sysClr val="windowText" lastClr="000000"/>
              </a:solidFill>
              <a:effectLst/>
              <a:latin typeface="+mn-lt"/>
              <a:ea typeface="+mn-ea"/>
              <a:cs typeface="+mn-cs"/>
            </a:rPr>
            <a:t>All</a:t>
          </a:r>
          <a:r>
            <a:rPr lang="da-DK" sz="1100" baseline="0">
              <a:solidFill>
                <a:sysClr val="windowText" lastClr="000000"/>
              </a:solidFill>
              <a:effectLst/>
              <a:latin typeface="+mn-lt"/>
              <a:ea typeface="+mn-ea"/>
              <a:cs typeface="+mn-cs"/>
            </a:rPr>
            <a:t> estimates are man hours</a:t>
          </a:r>
        </a:p>
        <a:p>
          <a:r>
            <a:rPr lang="da-DK" sz="1100" baseline="0">
              <a:solidFill>
                <a:sysClr val="windowText" lastClr="000000"/>
              </a:solidFill>
              <a:effectLst/>
              <a:latin typeface="+mn-lt"/>
              <a:ea typeface="+mn-ea"/>
              <a:cs typeface="+mn-cs"/>
            </a:rPr>
            <a:t>- Cost type is always IT (no business cost)</a:t>
          </a:r>
        </a:p>
        <a:p>
          <a:pPr marL="0" marR="0" lvl="0" indent="0" defTabSz="914400" eaLnBrk="1" fontAlgn="auto" latinLnBrk="0" hangingPunct="1">
            <a:lnSpc>
              <a:spcPct val="100000"/>
            </a:lnSpc>
            <a:spcBef>
              <a:spcPts val="0"/>
            </a:spcBef>
            <a:spcAft>
              <a:spcPts val="0"/>
            </a:spcAft>
            <a:buClrTx/>
            <a:buSzTx/>
            <a:buFontTx/>
            <a:buNone/>
            <a:tabLst/>
            <a:defRPr/>
          </a:pPr>
          <a:r>
            <a:rPr lang="da-DK" sz="1100" baseline="0">
              <a:solidFill>
                <a:sysClr val="windowText" lastClr="000000"/>
              </a:solidFill>
              <a:effectLst/>
              <a:latin typeface="+mn-lt"/>
              <a:ea typeface="+mn-ea"/>
              <a:cs typeface="+mn-cs"/>
            </a:rPr>
            <a:t>- Related requirements/activities are gathered into area/tasks/features </a:t>
          </a:r>
        </a:p>
        <a:p>
          <a:pPr marL="0" marR="0" lvl="0" indent="0" defTabSz="914400" eaLnBrk="1" fontAlgn="auto" latinLnBrk="0" hangingPunct="1">
            <a:lnSpc>
              <a:spcPct val="100000"/>
            </a:lnSpc>
            <a:spcBef>
              <a:spcPts val="0"/>
            </a:spcBef>
            <a:spcAft>
              <a:spcPts val="0"/>
            </a:spcAft>
            <a:buClrTx/>
            <a:buSzTx/>
            <a:buFontTx/>
            <a:buNone/>
            <a:tabLst/>
            <a:defRPr/>
          </a:pPr>
          <a:endParaRPr lang="da-DK" sz="1100">
            <a:solidFill>
              <a:sysClr val="windowText" lastClr="0000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da-DK" sz="1100">
              <a:solidFill>
                <a:sysClr val="windowText" lastClr="000000"/>
              </a:solidFill>
              <a:effectLst/>
              <a:latin typeface="+mn-lt"/>
              <a:ea typeface="+mn-ea"/>
              <a:cs typeface="+mn-cs"/>
            </a:rPr>
            <a:t>- Everything</a:t>
          </a:r>
          <a:r>
            <a:rPr lang="da-DK" sz="1100" baseline="0">
              <a:solidFill>
                <a:sysClr val="windowText" lastClr="000000"/>
              </a:solidFill>
              <a:effectLst/>
              <a:latin typeface="+mn-lt"/>
              <a:ea typeface="+mn-ea"/>
              <a:cs typeface="+mn-cs"/>
            </a:rPr>
            <a:t> in              is automatically calculated by relevant formulas. </a:t>
          </a:r>
          <a:r>
            <a:rPr lang="da-DK" sz="1100" b="1" baseline="0">
              <a:solidFill>
                <a:sysClr val="windowText" lastClr="000000"/>
              </a:solidFill>
              <a:effectLst/>
              <a:latin typeface="+mn-lt"/>
              <a:ea typeface="+mn-ea"/>
              <a:cs typeface="+mn-cs"/>
            </a:rPr>
            <a:t>DO NOT CHANGE</a:t>
          </a:r>
          <a:r>
            <a:rPr lang="da-DK" sz="1100" baseline="0">
              <a:solidFill>
                <a:sysClr val="windowText" lastClr="000000"/>
              </a:solidFill>
              <a:effectLst/>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lang="da-DK" sz="1100" baseline="0">
              <a:solidFill>
                <a:sysClr val="windowText" lastClr="000000"/>
              </a:solidFill>
              <a:effectLst/>
              <a:latin typeface="+mn-lt"/>
              <a:ea typeface="+mn-ea"/>
              <a:cs typeface="+mn-cs"/>
            </a:rPr>
            <a:t>- Every area beneath              is mandatory to fill out. If not relevant fill out with 0.</a:t>
          </a:r>
          <a:endParaRPr lang="da-DK" sz="1100">
            <a:solidFill>
              <a:sysClr val="windowText" lastClr="000000"/>
            </a:solidFill>
            <a:effectLst/>
            <a:latin typeface="+mn-lt"/>
            <a:ea typeface="+mn-ea"/>
            <a:cs typeface="+mn-cs"/>
          </a:endParaRPr>
        </a:p>
        <a:p>
          <a:endParaRPr lang="da-DK" sz="1100">
            <a:solidFill>
              <a:srgbClr val="00B050"/>
            </a:solidFill>
          </a:endParaRPr>
        </a:p>
        <a:p>
          <a:endParaRPr lang="da-DK" sz="1100">
            <a:solidFill>
              <a:srgbClr val="00B050"/>
            </a:solidFill>
          </a:endParaRPr>
        </a:p>
      </xdr:txBody>
    </xdr:sp>
    <xdr:clientData/>
  </xdr:twoCellAnchor>
  <xdr:twoCellAnchor>
    <xdr:from>
      <xdr:col>5</xdr:col>
      <xdr:colOff>228600</xdr:colOff>
      <xdr:row>18</xdr:row>
      <xdr:rowOff>123825</xdr:rowOff>
    </xdr:from>
    <xdr:to>
      <xdr:col>5</xdr:col>
      <xdr:colOff>588600</xdr:colOff>
      <xdr:row>19</xdr:row>
      <xdr:rowOff>10650</xdr:rowOff>
    </xdr:to>
    <xdr:sp macro="" textlink="">
      <xdr:nvSpPr>
        <xdr:cNvPr id="8" name="Rectangle 7">
          <a:extLst>
            <a:ext uri="{FF2B5EF4-FFF2-40B4-BE49-F238E27FC236}">
              <a16:creationId xmlns:a16="http://schemas.microsoft.com/office/drawing/2014/main" id="{7A84C655-D53E-B66F-17AF-60EE0D49B90C}"/>
            </a:ext>
          </a:extLst>
        </xdr:cNvPr>
        <xdr:cNvSpPr/>
      </xdr:nvSpPr>
      <xdr:spPr>
        <a:xfrm>
          <a:off x="3933825" y="3086100"/>
          <a:ext cx="360000" cy="144000"/>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a-DK" sz="1100"/>
        </a:p>
      </xdr:txBody>
    </xdr:sp>
    <xdr:clientData/>
  </xdr:twoCellAnchor>
  <xdr:twoCellAnchor>
    <xdr:from>
      <xdr:col>4</xdr:col>
      <xdr:colOff>476250</xdr:colOff>
      <xdr:row>17</xdr:row>
      <xdr:rowOff>219075</xdr:rowOff>
    </xdr:from>
    <xdr:to>
      <xdr:col>5</xdr:col>
      <xdr:colOff>226650</xdr:colOff>
      <xdr:row>18</xdr:row>
      <xdr:rowOff>105900</xdr:rowOff>
    </xdr:to>
    <xdr:sp macro="" textlink="">
      <xdr:nvSpPr>
        <xdr:cNvPr id="9" name="Rectangle 8">
          <a:extLst>
            <a:ext uri="{FF2B5EF4-FFF2-40B4-BE49-F238E27FC236}">
              <a16:creationId xmlns:a16="http://schemas.microsoft.com/office/drawing/2014/main" id="{BA31412C-1896-453E-A1EE-6B02E75A5839}"/>
            </a:ext>
          </a:extLst>
        </xdr:cNvPr>
        <xdr:cNvSpPr/>
      </xdr:nvSpPr>
      <xdr:spPr>
        <a:xfrm>
          <a:off x="3571875" y="2924175"/>
          <a:ext cx="360000" cy="144000"/>
        </a:xfrm>
        <a:prstGeom prst="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a-DK" sz="1100"/>
        </a:p>
      </xdr:txBody>
    </xdr:sp>
    <xdr:clientData/>
  </xdr:twoCellAnchor>
  <xdr:twoCellAnchor>
    <xdr:from>
      <xdr:col>4</xdr:col>
      <xdr:colOff>85725</xdr:colOff>
      <xdr:row>40</xdr:row>
      <xdr:rowOff>76200</xdr:rowOff>
    </xdr:from>
    <xdr:to>
      <xdr:col>4</xdr:col>
      <xdr:colOff>445725</xdr:colOff>
      <xdr:row>41</xdr:row>
      <xdr:rowOff>29700</xdr:rowOff>
    </xdr:to>
    <xdr:sp macro="" textlink="">
      <xdr:nvSpPr>
        <xdr:cNvPr id="11" name="Rectangle 10">
          <a:extLst>
            <a:ext uri="{FF2B5EF4-FFF2-40B4-BE49-F238E27FC236}">
              <a16:creationId xmlns:a16="http://schemas.microsoft.com/office/drawing/2014/main" id="{CE6B3832-CFDE-4D44-9A2F-C923D8BAAAD4}"/>
            </a:ext>
          </a:extLst>
        </xdr:cNvPr>
        <xdr:cNvSpPr/>
      </xdr:nvSpPr>
      <xdr:spPr>
        <a:xfrm>
          <a:off x="3181350" y="8134350"/>
          <a:ext cx="360000" cy="144000"/>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a-DK" sz="1100"/>
        </a:p>
      </xdr:txBody>
    </xdr:sp>
    <xdr:clientData/>
  </xdr:twoCellAnchor>
  <xdr:twoCellAnchor>
    <xdr:from>
      <xdr:col>4</xdr:col>
      <xdr:colOff>123825</xdr:colOff>
      <xdr:row>41</xdr:row>
      <xdr:rowOff>57150</xdr:rowOff>
    </xdr:from>
    <xdr:to>
      <xdr:col>4</xdr:col>
      <xdr:colOff>483825</xdr:colOff>
      <xdr:row>42</xdr:row>
      <xdr:rowOff>10650</xdr:rowOff>
    </xdr:to>
    <xdr:sp macro="" textlink="">
      <xdr:nvSpPr>
        <xdr:cNvPr id="12" name="Rectangle 11">
          <a:extLst>
            <a:ext uri="{FF2B5EF4-FFF2-40B4-BE49-F238E27FC236}">
              <a16:creationId xmlns:a16="http://schemas.microsoft.com/office/drawing/2014/main" id="{DBD971AE-9D39-4EE2-8C51-05D0B8620314}"/>
            </a:ext>
          </a:extLst>
        </xdr:cNvPr>
        <xdr:cNvSpPr/>
      </xdr:nvSpPr>
      <xdr:spPr>
        <a:xfrm>
          <a:off x="3219450" y="8305800"/>
          <a:ext cx="360000" cy="144000"/>
        </a:xfrm>
        <a:prstGeom prst="rect">
          <a:avLst/>
        </a:prstGeom>
        <a:solidFill>
          <a:srgbClr val="FFFF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a-DK" sz="1100"/>
        </a:p>
      </xdr:txBody>
    </xdr:sp>
    <xdr:clientData/>
  </xdr:twoCellAnchor>
  <xdr:twoCellAnchor>
    <xdr:from>
      <xdr:col>3</xdr:col>
      <xdr:colOff>144780</xdr:colOff>
      <xdr:row>47</xdr:row>
      <xdr:rowOff>3810</xdr:rowOff>
    </xdr:from>
    <xdr:to>
      <xdr:col>12</xdr:col>
      <xdr:colOff>418380</xdr:colOff>
      <xdr:row>52</xdr:row>
      <xdr:rowOff>53340</xdr:rowOff>
    </xdr:to>
    <xdr:sp macro="" textlink="">
      <xdr:nvSpPr>
        <xdr:cNvPr id="3" name="TextBox 1">
          <a:extLst>
            <a:ext uri="{FF2B5EF4-FFF2-40B4-BE49-F238E27FC236}">
              <a16:creationId xmlns:a16="http://schemas.microsoft.com/office/drawing/2014/main" id="{615717FA-DA06-46FB-9403-5579FA14FF54}"/>
            </a:ext>
          </a:extLst>
        </xdr:cNvPr>
        <xdr:cNvSpPr txBox="1"/>
      </xdr:nvSpPr>
      <xdr:spPr>
        <a:xfrm>
          <a:off x="2630805" y="9395460"/>
          <a:ext cx="5760000" cy="1002030"/>
        </a:xfrm>
        <a:prstGeom prst="rect">
          <a:avLst/>
        </a:prstGeom>
        <a:solidFill>
          <a:schemeClr val="bg1">
            <a:lumMod val="95000"/>
          </a:schemeClr>
        </a:solidFill>
        <a:ln w="1905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1100" b="1"/>
            <a:t>Guidelines Cost overview:</a:t>
          </a:r>
        </a:p>
        <a:p>
          <a:r>
            <a:rPr lang="da-DK" sz="1100" b="0"/>
            <a:t>-</a:t>
          </a:r>
          <a:r>
            <a:rPr lang="da-DK" sz="1100" b="0" baseline="0"/>
            <a:t>                Automatically calculated. </a:t>
          </a:r>
          <a:r>
            <a:rPr lang="da-DK" sz="1100" b="1" baseline="0"/>
            <a:t>DO NOT CHANGE</a:t>
          </a:r>
        </a:p>
        <a:p>
          <a:r>
            <a:rPr lang="da-DK" sz="1100" b="0" baseline="0">
              <a:solidFill>
                <a:schemeClr val="dk1"/>
              </a:solidFill>
              <a:latin typeface="+mn-lt"/>
              <a:ea typeface="+mn-ea"/>
              <a:cs typeface="+mn-cs"/>
            </a:rPr>
            <a:t>-                 Mandatory </a:t>
          </a:r>
          <a:r>
            <a:rPr lang="da-DK" sz="1100" baseline="0">
              <a:solidFill>
                <a:schemeClr val="dk1"/>
              </a:solidFill>
              <a:effectLst/>
              <a:latin typeface="+mn-lt"/>
              <a:ea typeface="+mn-ea"/>
              <a:cs typeface="+mn-cs"/>
            </a:rPr>
            <a:t>to consider/fill out</a:t>
          </a:r>
          <a:endParaRPr lang="da-DK" sz="1100" b="1" baseline="0"/>
        </a:p>
        <a:p>
          <a:r>
            <a:rPr lang="da-DK" sz="1100" b="0" baseline="0"/>
            <a:t>- Fill in the table with distribution of the costs over the years</a:t>
          </a:r>
        </a:p>
        <a:p>
          <a:r>
            <a:rPr lang="da-DK" sz="1100" b="0" baseline="0"/>
            <a:t>      --&gt; Check will indicate if it is done correctly. </a:t>
          </a:r>
          <a:r>
            <a:rPr lang="da-DK" sz="1100" b="0" baseline="0">
              <a:solidFill>
                <a:srgbClr val="00B050"/>
              </a:solidFill>
            </a:rPr>
            <a:t>OK</a:t>
          </a:r>
          <a:r>
            <a:rPr lang="da-DK" sz="1100" b="0" baseline="0"/>
            <a:t> or </a:t>
          </a:r>
          <a:r>
            <a:rPr lang="da-DK" sz="1100" b="0" baseline="0">
              <a:solidFill>
                <a:srgbClr val="FF0000"/>
              </a:solidFill>
            </a:rPr>
            <a:t>Not OK</a:t>
          </a:r>
          <a:endParaRPr lang="da-DK" sz="1100" b="0">
            <a:solidFill>
              <a:srgbClr val="FF0000"/>
            </a:solidFill>
          </a:endParaRPr>
        </a:p>
      </xdr:txBody>
    </xdr:sp>
    <xdr:clientData/>
  </xdr:twoCellAnchor>
  <xdr:twoCellAnchor>
    <xdr:from>
      <xdr:col>3</xdr:col>
      <xdr:colOff>375285</xdr:colOff>
      <xdr:row>48</xdr:row>
      <xdr:rowOff>43814</xdr:rowOff>
    </xdr:from>
    <xdr:to>
      <xdr:col>4</xdr:col>
      <xdr:colOff>125685</xdr:colOff>
      <xdr:row>48</xdr:row>
      <xdr:rowOff>187814</xdr:rowOff>
    </xdr:to>
    <xdr:sp macro="" textlink="">
      <xdr:nvSpPr>
        <xdr:cNvPr id="4" name="Rectangle 3">
          <a:extLst>
            <a:ext uri="{FF2B5EF4-FFF2-40B4-BE49-F238E27FC236}">
              <a16:creationId xmlns:a16="http://schemas.microsoft.com/office/drawing/2014/main" id="{9564078B-1080-4CB9-9FE7-2B8FCEF6342F}"/>
            </a:ext>
          </a:extLst>
        </xdr:cNvPr>
        <xdr:cNvSpPr/>
      </xdr:nvSpPr>
      <xdr:spPr>
        <a:xfrm>
          <a:off x="2861310" y="9625964"/>
          <a:ext cx="360000" cy="144000"/>
        </a:xfrm>
        <a:prstGeom prst="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a-DK" sz="1100"/>
        </a:p>
      </xdr:txBody>
    </xdr:sp>
    <xdr:clientData/>
  </xdr:twoCellAnchor>
  <xdr:twoCellAnchor>
    <xdr:from>
      <xdr:col>3</xdr:col>
      <xdr:colOff>377190</xdr:colOff>
      <xdr:row>49</xdr:row>
      <xdr:rowOff>26670</xdr:rowOff>
    </xdr:from>
    <xdr:to>
      <xdr:col>4</xdr:col>
      <xdr:colOff>127590</xdr:colOff>
      <xdr:row>49</xdr:row>
      <xdr:rowOff>178290</xdr:rowOff>
    </xdr:to>
    <xdr:sp macro="" textlink="">
      <xdr:nvSpPr>
        <xdr:cNvPr id="5" name="Rectangle 4">
          <a:extLst>
            <a:ext uri="{FF2B5EF4-FFF2-40B4-BE49-F238E27FC236}">
              <a16:creationId xmlns:a16="http://schemas.microsoft.com/office/drawing/2014/main" id="{90314831-1FEB-45F1-B1FA-70F97533364A}"/>
            </a:ext>
          </a:extLst>
        </xdr:cNvPr>
        <xdr:cNvSpPr/>
      </xdr:nvSpPr>
      <xdr:spPr>
        <a:xfrm>
          <a:off x="2863215" y="9799320"/>
          <a:ext cx="360000" cy="151620"/>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a-DK" sz="1100"/>
        </a:p>
      </xdr:txBody>
    </xdr:sp>
    <xdr:clientData/>
  </xdr:twoCellAnchor>
  <xdr:twoCellAnchor>
    <xdr:from>
      <xdr:col>3</xdr:col>
      <xdr:colOff>140970</xdr:colOff>
      <xdr:row>20</xdr:row>
      <xdr:rowOff>0</xdr:rowOff>
    </xdr:from>
    <xdr:to>
      <xdr:col>12</xdr:col>
      <xdr:colOff>414570</xdr:colOff>
      <xdr:row>36</xdr:row>
      <xdr:rowOff>11430</xdr:rowOff>
    </xdr:to>
    <xdr:sp macro="" textlink="">
      <xdr:nvSpPr>
        <xdr:cNvPr id="6" name="TextBox 5">
          <a:extLst>
            <a:ext uri="{FF2B5EF4-FFF2-40B4-BE49-F238E27FC236}">
              <a16:creationId xmlns:a16="http://schemas.microsoft.com/office/drawing/2014/main" id="{F1C73D70-2134-427E-A4F4-4682CEB68869}"/>
            </a:ext>
          </a:extLst>
        </xdr:cNvPr>
        <xdr:cNvSpPr txBox="1"/>
      </xdr:nvSpPr>
      <xdr:spPr>
        <a:xfrm>
          <a:off x="2626995" y="4238625"/>
          <a:ext cx="5760000" cy="3068955"/>
        </a:xfrm>
        <a:prstGeom prst="rect">
          <a:avLst/>
        </a:prstGeom>
        <a:solidFill>
          <a:schemeClr val="bg1">
            <a:lumMod val="95000"/>
          </a:schemeClr>
        </a:solidFill>
        <a:ln w="1905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1100" b="1"/>
            <a:t>Guidelines Resource Cost Assumptions:</a:t>
          </a:r>
        </a:p>
        <a:p>
          <a:endParaRPr lang="da-DK" sz="1100" b="1"/>
        </a:p>
        <a:p>
          <a:r>
            <a:rPr lang="en-US" sz="1100" b="1">
              <a:solidFill>
                <a:schemeClr val="dk1"/>
              </a:solidFill>
              <a:effectLst/>
              <a:latin typeface="+mn-lt"/>
              <a:ea typeface="+mn-ea"/>
              <a:cs typeface="+mn-cs"/>
            </a:rPr>
            <a:t>Internal</a:t>
          </a:r>
          <a:r>
            <a:rPr lang="en-US" sz="1100" b="1" baseline="0">
              <a:solidFill>
                <a:schemeClr val="dk1"/>
              </a:solidFill>
              <a:effectLst/>
              <a:latin typeface="+mn-lt"/>
              <a:ea typeface="+mn-ea"/>
              <a:cs typeface="+mn-cs"/>
            </a:rPr>
            <a:t> resources: </a:t>
          </a:r>
        </a:p>
        <a:p>
          <a:r>
            <a:rPr lang="en-US" sz="1100">
              <a:solidFill>
                <a:schemeClr val="dk1"/>
              </a:solidFill>
              <a:effectLst/>
              <a:latin typeface="+mn-lt"/>
              <a:ea typeface="+mn-ea"/>
              <a:cs typeface="+mn-cs"/>
            </a:rPr>
            <a:t>- </a:t>
          </a:r>
          <a:r>
            <a:rPr lang="da-DK" sz="1100">
              <a:solidFill>
                <a:schemeClr val="dk1"/>
              </a:solidFill>
              <a:effectLst/>
              <a:latin typeface="+mn-lt"/>
              <a:ea typeface="+mn-ea"/>
              <a:cs typeface="+mn-cs"/>
            </a:rPr>
            <a:t>You should fill out the expected share of</a:t>
          </a:r>
          <a:r>
            <a:rPr lang="da-DK" sz="1100" baseline="0">
              <a:solidFill>
                <a:schemeClr val="dk1"/>
              </a:solidFill>
              <a:effectLst/>
              <a:latin typeface="+mn-lt"/>
              <a:ea typeface="+mn-ea"/>
              <a:cs typeface="+mn-cs"/>
            </a:rPr>
            <a:t> resources to be allocated from DK, GE, UK &amp; SE</a:t>
          </a:r>
        </a:p>
        <a:p>
          <a:pPr marL="0" marR="0" lvl="0" indent="0" defTabSz="914400" eaLnBrk="1" fontAlgn="auto" latinLnBrk="0" hangingPunct="1">
            <a:lnSpc>
              <a:spcPct val="100000"/>
            </a:lnSpc>
            <a:spcBef>
              <a:spcPts val="0"/>
            </a:spcBef>
            <a:spcAft>
              <a:spcPts val="0"/>
            </a:spcAft>
            <a:buClrTx/>
            <a:buSzTx/>
            <a:buFontTx/>
            <a:buNone/>
            <a:tabLst/>
            <a:defRPr/>
          </a:pPr>
          <a:r>
            <a:rPr lang="da-DK" sz="1100" baseline="0">
              <a:solidFill>
                <a:schemeClr val="dk1"/>
              </a:solidFill>
              <a:effectLst/>
              <a:latin typeface="+mn-lt"/>
              <a:ea typeface="+mn-ea"/>
              <a:cs typeface="+mn-cs"/>
            </a:rPr>
            <a:t>--&gt; PL is precalculated based on the share of DK, GE, UK &amp; SE. </a:t>
          </a:r>
          <a:r>
            <a:rPr lang="da-DK" sz="1100" b="1">
              <a:solidFill>
                <a:schemeClr val="dk1"/>
              </a:solidFill>
              <a:effectLst/>
              <a:latin typeface="+mn-lt"/>
              <a:ea typeface="+mn-ea"/>
              <a:cs typeface="+mn-cs"/>
            </a:rPr>
            <a:t>DO NOT CHANGE</a:t>
          </a:r>
        </a:p>
        <a:p>
          <a:pPr marL="0" marR="0" lvl="0" indent="0" defTabSz="914400" eaLnBrk="1" fontAlgn="auto" latinLnBrk="0" hangingPunct="1">
            <a:lnSpc>
              <a:spcPct val="100000"/>
            </a:lnSpc>
            <a:spcBef>
              <a:spcPts val="0"/>
            </a:spcBef>
            <a:spcAft>
              <a:spcPts val="0"/>
            </a:spcAft>
            <a:buClrTx/>
            <a:buSzTx/>
            <a:buFontTx/>
            <a:buNone/>
            <a:tabLst/>
            <a:defRPr/>
          </a:pPr>
          <a:endParaRPr lang="da-DK"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da-DK" sz="1100" b="1">
              <a:solidFill>
                <a:schemeClr val="dk1"/>
              </a:solidFill>
              <a:effectLst/>
              <a:latin typeface="+mn-lt"/>
              <a:ea typeface="+mn-ea"/>
              <a:cs typeface="+mn-cs"/>
            </a:rPr>
            <a:t>IT resources:</a:t>
          </a:r>
        </a:p>
        <a:p>
          <a:pPr marL="0" marR="0" lvl="0" indent="0" defTabSz="914400" eaLnBrk="1" fontAlgn="auto" latinLnBrk="0" hangingPunct="1">
            <a:lnSpc>
              <a:spcPct val="100000"/>
            </a:lnSpc>
            <a:spcBef>
              <a:spcPts val="0"/>
            </a:spcBef>
            <a:spcAft>
              <a:spcPts val="0"/>
            </a:spcAft>
            <a:buClrTx/>
            <a:buSzTx/>
            <a:buFontTx/>
            <a:buNone/>
            <a:tabLst/>
            <a:defRPr/>
          </a:pPr>
          <a:r>
            <a:rPr lang="da-DK" sz="1100">
              <a:solidFill>
                <a:schemeClr val="dk1"/>
              </a:solidFill>
              <a:effectLst/>
              <a:latin typeface="+mn-lt"/>
              <a:ea typeface="+mn-ea"/>
              <a:cs typeface="+mn-cs"/>
            </a:rPr>
            <a:t>- You should fill out the expected share of</a:t>
          </a:r>
          <a:r>
            <a:rPr lang="da-DK" sz="1100" baseline="0">
              <a:solidFill>
                <a:schemeClr val="dk1"/>
              </a:solidFill>
              <a:effectLst/>
              <a:latin typeface="+mn-lt"/>
              <a:ea typeface="+mn-ea"/>
              <a:cs typeface="+mn-cs"/>
            </a:rPr>
            <a:t> internal resources and the distribution between three different types of external resources (to be used if you need different external resources with different average hourly cost (eg. on-shore, near-shore, off-shore)). If you only need one type of external resource, then only insert a fraction in 'External IT 1 resource fraction' and leave the two others empty.</a:t>
          </a:r>
        </a:p>
        <a:p>
          <a:r>
            <a:rPr lang="da-DK" sz="1100" b="0" baseline="0">
              <a:solidFill>
                <a:schemeClr val="dk1"/>
              </a:solidFill>
              <a:effectLst/>
              <a:latin typeface="+mn-lt"/>
              <a:ea typeface="+mn-ea"/>
              <a:cs typeface="+mn-cs"/>
            </a:rPr>
            <a:t>--&gt; Check in cell C14 will indicate if the fractions sum to 1. </a:t>
          </a:r>
          <a:r>
            <a:rPr lang="da-DK" sz="1100" b="0" baseline="0">
              <a:solidFill>
                <a:srgbClr val="00B050"/>
              </a:solidFill>
              <a:effectLst/>
              <a:latin typeface="+mn-lt"/>
              <a:ea typeface="+mn-ea"/>
              <a:cs typeface="+mn-cs"/>
            </a:rPr>
            <a:t>OK</a:t>
          </a:r>
          <a:r>
            <a:rPr lang="da-DK" sz="1100" b="0" baseline="0">
              <a:solidFill>
                <a:schemeClr val="dk1"/>
              </a:solidFill>
              <a:effectLst/>
              <a:latin typeface="+mn-lt"/>
              <a:ea typeface="+mn-ea"/>
              <a:cs typeface="+mn-cs"/>
            </a:rPr>
            <a:t> or </a:t>
          </a:r>
          <a:r>
            <a:rPr lang="da-DK" sz="1100" b="0" baseline="0">
              <a:solidFill>
                <a:srgbClr val="FF0000"/>
              </a:solidFill>
              <a:effectLst/>
              <a:latin typeface="+mn-lt"/>
              <a:ea typeface="+mn-ea"/>
              <a:cs typeface="+mn-cs"/>
            </a:rPr>
            <a:t>Not OK</a:t>
          </a:r>
          <a:endParaRPr lang="da-DK">
            <a:solidFill>
              <a:srgbClr val="FF0000"/>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da-DK">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da-DK" b="1">
              <a:effectLst/>
            </a:rPr>
            <a:t>Int/Ext. average</a:t>
          </a:r>
          <a:r>
            <a:rPr lang="da-DK" b="1" baseline="0">
              <a:effectLst/>
            </a:rPr>
            <a:t> cost assumptions:</a:t>
          </a:r>
          <a:endParaRPr lang="da-DK" b="1">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da-DK">
              <a:effectLst/>
            </a:rPr>
            <a:t>-</a:t>
          </a:r>
          <a:r>
            <a:rPr lang="da-DK" baseline="0">
              <a:effectLst/>
            </a:rPr>
            <a:t> The hourly rates are calculated based on an average. Only change if you know the actual rate of your resources or want to apply a different average. </a:t>
          </a:r>
          <a:endParaRPr lang="da-DK">
            <a:effectLst/>
          </a:endParaRPr>
        </a:p>
        <a:p>
          <a:endParaRPr lang="da-DK" sz="1100">
            <a:solidFill>
              <a:schemeClr val="dk1"/>
            </a:solidFill>
            <a:effectLst/>
            <a:latin typeface="+mn-lt"/>
            <a:ea typeface="+mn-ea"/>
            <a:cs typeface="+mn-cs"/>
          </a:endParaRPr>
        </a:p>
        <a:p>
          <a:endParaRPr lang="da-DK" sz="1100"/>
        </a:p>
        <a:p>
          <a:endParaRPr lang="da-DK"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19050</xdr:colOff>
      <xdr:row>2</xdr:row>
      <xdr:rowOff>28575</xdr:rowOff>
    </xdr:from>
    <xdr:to>
      <xdr:col>24</xdr:col>
      <xdr:colOff>95250</xdr:colOff>
      <xdr:row>8</xdr:row>
      <xdr:rowOff>83819</xdr:rowOff>
    </xdr:to>
    <xdr:sp macro="" textlink="">
      <xdr:nvSpPr>
        <xdr:cNvPr id="4" name="TextBox 14">
          <a:extLst>
            <a:ext uri="{FF2B5EF4-FFF2-40B4-BE49-F238E27FC236}">
              <a16:creationId xmlns:a16="http://schemas.microsoft.com/office/drawing/2014/main" id="{00000000-0008-0000-0600-000004000000}"/>
            </a:ext>
          </a:extLst>
        </xdr:cNvPr>
        <xdr:cNvSpPr txBox="1"/>
      </xdr:nvSpPr>
      <xdr:spPr>
        <a:xfrm>
          <a:off x="11220450" y="409575"/>
          <a:ext cx="5791200" cy="1350644"/>
        </a:xfrm>
        <a:prstGeom prst="rect">
          <a:avLst/>
        </a:prstGeom>
        <a:solidFill>
          <a:schemeClr val="bg1">
            <a:lumMod val="95000"/>
          </a:schemeClr>
        </a:solidFill>
        <a:ln w="1905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1100" b="1">
              <a:solidFill>
                <a:schemeClr val="tx1"/>
              </a:solidFill>
            </a:rPr>
            <a:t>Guidelines Resource Estimates:</a:t>
          </a:r>
        </a:p>
        <a:p>
          <a:r>
            <a:rPr lang="en-US" sz="1100">
              <a:solidFill>
                <a:schemeClr val="tx1"/>
              </a:solidFill>
              <a:effectLst/>
              <a:latin typeface="+mn-lt"/>
              <a:ea typeface="+mn-ea"/>
              <a:cs typeface="+mn-cs"/>
            </a:rPr>
            <a:t>- </a:t>
          </a:r>
          <a:r>
            <a:rPr lang="da-DK" sz="1100">
              <a:solidFill>
                <a:schemeClr val="tx1"/>
              </a:solidFill>
              <a:effectLst/>
              <a:latin typeface="+mn-lt"/>
              <a:ea typeface="+mn-ea"/>
              <a:cs typeface="+mn-cs"/>
            </a:rPr>
            <a:t>All</a:t>
          </a:r>
          <a:r>
            <a:rPr lang="da-DK" sz="1100" baseline="0">
              <a:solidFill>
                <a:schemeClr val="tx1"/>
              </a:solidFill>
              <a:effectLst/>
              <a:latin typeface="+mn-lt"/>
              <a:ea typeface="+mn-ea"/>
              <a:cs typeface="+mn-cs"/>
            </a:rPr>
            <a:t> estimates are man hours</a:t>
          </a:r>
        </a:p>
        <a:p>
          <a:r>
            <a:rPr lang="da-DK" sz="1100" baseline="0">
              <a:solidFill>
                <a:schemeClr val="tx1"/>
              </a:solidFill>
              <a:effectLst/>
              <a:latin typeface="+mn-lt"/>
              <a:ea typeface="+mn-ea"/>
              <a:cs typeface="+mn-cs"/>
            </a:rPr>
            <a:t>- Cost type is always IT (no business cost)</a:t>
          </a:r>
        </a:p>
        <a:p>
          <a:pPr marL="0" marR="0" lvl="0" indent="0" defTabSz="914400" eaLnBrk="1" fontAlgn="auto" latinLnBrk="0" hangingPunct="1">
            <a:lnSpc>
              <a:spcPct val="100000"/>
            </a:lnSpc>
            <a:spcBef>
              <a:spcPts val="0"/>
            </a:spcBef>
            <a:spcAft>
              <a:spcPts val="0"/>
            </a:spcAft>
            <a:buClrTx/>
            <a:buSzTx/>
            <a:buFontTx/>
            <a:buNone/>
            <a:tabLst/>
            <a:defRPr/>
          </a:pPr>
          <a:r>
            <a:rPr lang="da-DK" sz="1100" baseline="0">
              <a:solidFill>
                <a:schemeClr val="tx1"/>
              </a:solidFill>
              <a:effectLst/>
              <a:latin typeface="+mn-lt"/>
              <a:ea typeface="+mn-ea"/>
              <a:cs typeface="+mn-cs"/>
            </a:rPr>
            <a:t>- Related requirements/activities are gathered into area/tasks/features </a:t>
          </a:r>
        </a:p>
        <a:p>
          <a:pPr marL="0" marR="0" lvl="0" indent="0" defTabSz="914400" eaLnBrk="1" fontAlgn="auto" latinLnBrk="0" hangingPunct="1">
            <a:lnSpc>
              <a:spcPct val="100000"/>
            </a:lnSpc>
            <a:spcBef>
              <a:spcPts val="0"/>
            </a:spcBef>
            <a:spcAft>
              <a:spcPts val="0"/>
            </a:spcAft>
            <a:buClrTx/>
            <a:buSzTx/>
            <a:buFontTx/>
            <a:buNone/>
            <a:tabLst/>
            <a:defRPr/>
          </a:pPr>
          <a:endParaRPr lang="da-DK" sz="110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da-DK" sz="1100">
              <a:solidFill>
                <a:schemeClr val="tx1"/>
              </a:solidFill>
              <a:effectLst/>
              <a:latin typeface="+mn-lt"/>
              <a:ea typeface="+mn-ea"/>
              <a:cs typeface="+mn-cs"/>
            </a:rPr>
            <a:t>- Everything</a:t>
          </a:r>
          <a:r>
            <a:rPr lang="da-DK" sz="1100" baseline="0">
              <a:solidFill>
                <a:schemeClr val="tx1"/>
              </a:solidFill>
              <a:effectLst/>
              <a:latin typeface="+mn-lt"/>
              <a:ea typeface="+mn-ea"/>
              <a:cs typeface="+mn-cs"/>
            </a:rPr>
            <a:t> in              is automatically calculated by relevant formulas. </a:t>
          </a:r>
          <a:r>
            <a:rPr lang="da-DK" sz="1100" b="1" baseline="0">
              <a:solidFill>
                <a:schemeClr val="tx1"/>
              </a:solidFill>
              <a:effectLst/>
              <a:latin typeface="+mn-lt"/>
              <a:ea typeface="+mn-ea"/>
              <a:cs typeface="+mn-cs"/>
            </a:rPr>
            <a:t>DO NOT CHANGE</a:t>
          </a:r>
          <a:r>
            <a:rPr lang="da-DK" sz="1100" baseline="0">
              <a:solidFill>
                <a:schemeClr val="tx1"/>
              </a:solidFill>
              <a:effectLst/>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lang="da-DK" sz="1100" baseline="0">
              <a:solidFill>
                <a:schemeClr val="tx1"/>
              </a:solidFill>
              <a:effectLst/>
              <a:latin typeface="+mn-lt"/>
              <a:ea typeface="+mn-ea"/>
              <a:cs typeface="+mn-cs"/>
            </a:rPr>
            <a:t>- Every area beneath              is mandatory to fill out. If not relevant fill out with 0.</a:t>
          </a:r>
          <a:endParaRPr lang="da-DK" sz="1100">
            <a:solidFill>
              <a:schemeClr val="tx1"/>
            </a:solidFill>
            <a:effectLst/>
            <a:latin typeface="+mn-lt"/>
            <a:ea typeface="+mn-ea"/>
            <a:cs typeface="+mn-cs"/>
          </a:endParaRPr>
        </a:p>
        <a:p>
          <a:endParaRPr lang="da-DK" sz="1100">
            <a:solidFill>
              <a:srgbClr val="00B050"/>
            </a:solidFill>
          </a:endParaRPr>
        </a:p>
        <a:p>
          <a:endParaRPr lang="da-DK" sz="1100">
            <a:solidFill>
              <a:srgbClr val="00B050"/>
            </a:solidFill>
          </a:endParaRPr>
        </a:p>
      </xdr:txBody>
    </xdr:sp>
    <xdr:clientData/>
  </xdr:twoCellAnchor>
  <xdr:twoCellAnchor>
    <xdr:from>
      <xdr:col>16</xdr:col>
      <xdr:colOff>180975</xdr:colOff>
      <xdr:row>7</xdr:row>
      <xdr:rowOff>9525</xdr:rowOff>
    </xdr:from>
    <xdr:to>
      <xdr:col>16</xdr:col>
      <xdr:colOff>540975</xdr:colOff>
      <xdr:row>7</xdr:row>
      <xdr:rowOff>153525</xdr:rowOff>
    </xdr:to>
    <xdr:sp macro="" textlink="">
      <xdr:nvSpPr>
        <xdr:cNvPr id="2" name="Rectangle 1">
          <a:extLst>
            <a:ext uri="{FF2B5EF4-FFF2-40B4-BE49-F238E27FC236}">
              <a16:creationId xmlns:a16="http://schemas.microsoft.com/office/drawing/2014/main" id="{BCA61DFB-E035-4F6B-91A9-ED36C71896F4}"/>
            </a:ext>
          </a:extLst>
        </xdr:cNvPr>
        <xdr:cNvSpPr/>
      </xdr:nvSpPr>
      <xdr:spPr>
        <a:xfrm>
          <a:off x="12773025" y="1495425"/>
          <a:ext cx="360000" cy="144000"/>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a-DK" sz="1100"/>
        </a:p>
      </xdr:txBody>
    </xdr:sp>
    <xdr:clientData/>
  </xdr:twoCellAnchor>
  <xdr:twoCellAnchor>
    <xdr:from>
      <xdr:col>15</xdr:col>
      <xdr:colOff>390525</xdr:colOff>
      <xdr:row>6</xdr:row>
      <xdr:rowOff>38100</xdr:rowOff>
    </xdr:from>
    <xdr:to>
      <xdr:col>16</xdr:col>
      <xdr:colOff>179025</xdr:colOff>
      <xdr:row>6</xdr:row>
      <xdr:rowOff>182100</xdr:rowOff>
    </xdr:to>
    <xdr:sp macro="" textlink="">
      <xdr:nvSpPr>
        <xdr:cNvPr id="3" name="Rectangle 2">
          <a:extLst>
            <a:ext uri="{FF2B5EF4-FFF2-40B4-BE49-F238E27FC236}">
              <a16:creationId xmlns:a16="http://schemas.microsoft.com/office/drawing/2014/main" id="{D54B5A84-5197-4E1E-AB3B-EB529CFD958F}"/>
            </a:ext>
          </a:extLst>
        </xdr:cNvPr>
        <xdr:cNvSpPr/>
      </xdr:nvSpPr>
      <xdr:spPr>
        <a:xfrm>
          <a:off x="12411075" y="1333500"/>
          <a:ext cx="360000" cy="144000"/>
        </a:xfrm>
        <a:prstGeom prst="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a-DK"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173355</xdr:colOff>
      <xdr:row>2</xdr:row>
      <xdr:rowOff>160019</xdr:rowOff>
    </xdr:from>
    <xdr:to>
      <xdr:col>13</xdr:col>
      <xdr:colOff>560705</xdr:colOff>
      <xdr:row>15</xdr:row>
      <xdr:rowOff>152399</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7240905" y="541019"/>
          <a:ext cx="5530850" cy="3068955"/>
        </a:xfrm>
        <a:prstGeom prst="rect">
          <a:avLst/>
        </a:prstGeom>
        <a:solidFill>
          <a:schemeClr val="bg1">
            <a:lumMod val="95000"/>
          </a:schemeClr>
        </a:solidFill>
        <a:ln w="1905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1100" b="1"/>
            <a:t>Guidelines Resource Cost Assumptions:</a:t>
          </a:r>
        </a:p>
        <a:p>
          <a:endParaRPr lang="da-DK" sz="1100" b="1"/>
        </a:p>
        <a:p>
          <a:r>
            <a:rPr lang="en-US" sz="1100" b="1">
              <a:solidFill>
                <a:schemeClr val="dk1"/>
              </a:solidFill>
              <a:effectLst/>
              <a:latin typeface="+mn-lt"/>
              <a:ea typeface="+mn-ea"/>
              <a:cs typeface="+mn-cs"/>
            </a:rPr>
            <a:t>Internal</a:t>
          </a:r>
          <a:r>
            <a:rPr lang="en-US" sz="1100" b="1" baseline="0">
              <a:solidFill>
                <a:schemeClr val="dk1"/>
              </a:solidFill>
              <a:effectLst/>
              <a:latin typeface="+mn-lt"/>
              <a:ea typeface="+mn-ea"/>
              <a:cs typeface="+mn-cs"/>
            </a:rPr>
            <a:t> resources: </a:t>
          </a:r>
        </a:p>
        <a:p>
          <a:r>
            <a:rPr lang="en-US" sz="1100">
              <a:solidFill>
                <a:schemeClr val="dk1"/>
              </a:solidFill>
              <a:effectLst/>
              <a:latin typeface="+mn-lt"/>
              <a:ea typeface="+mn-ea"/>
              <a:cs typeface="+mn-cs"/>
            </a:rPr>
            <a:t>- </a:t>
          </a:r>
          <a:r>
            <a:rPr lang="da-DK" sz="1100">
              <a:solidFill>
                <a:schemeClr val="dk1"/>
              </a:solidFill>
              <a:effectLst/>
              <a:latin typeface="+mn-lt"/>
              <a:ea typeface="+mn-ea"/>
              <a:cs typeface="+mn-cs"/>
            </a:rPr>
            <a:t>You should fill out the expected share of</a:t>
          </a:r>
          <a:r>
            <a:rPr lang="da-DK" sz="1100" baseline="0">
              <a:solidFill>
                <a:schemeClr val="dk1"/>
              </a:solidFill>
              <a:effectLst/>
              <a:latin typeface="+mn-lt"/>
              <a:ea typeface="+mn-ea"/>
              <a:cs typeface="+mn-cs"/>
            </a:rPr>
            <a:t> resources to be allocated from DK, GE, UK &amp; SE</a:t>
          </a:r>
        </a:p>
        <a:p>
          <a:pPr marL="0" marR="0" lvl="0" indent="0" defTabSz="914400" eaLnBrk="1" fontAlgn="auto" latinLnBrk="0" hangingPunct="1">
            <a:lnSpc>
              <a:spcPct val="100000"/>
            </a:lnSpc>
            <a:spcBef>
              <a:spcPts val="0"/>
            </a:spcBef>
            <a:spcAft>
              <a:spcPts val="0"/>
            </a:spcAft>
            <a:buClrTx/>
            <a:buSzTx/>
            <a:buFontTx/>
            <a:buNone/>
            <a:tabLst/>
            <a:defRPr/>
          </a:pPr>
          <a:r>
            <a:rPr lang="da-DK" sz="1100" baseline="0">
              <a:solidFill>
                <a:schemeClr val="dk1"/>
              </a:solidFill>
              <a:effectLst/>
              <a:latin typeface="+mn-lt"/>
              <a:ea typeface="+mn-ea"/>
              <a:cs typeface="+mn-cs"/>
            </a:rPr>
            <a:t>--&gt; PL is precalculated based on the share of DK, GE, UK &amp; SE. </a:t>
          </a:r>
          <a:r>
            <a:rPr lang="da-DK" sz="1100" b="1">
              <a:solidFill>
                <a:schemeClr val="dk1"/>
              </a:solidFill>
              <a:effectLst/>
              <a:latin typeface="+mn-lt"/>
              <a:ea typeface="+mn-ea"/>
              <a:cs typeface="+mn-cs"/>
            </a:rPr>
            <a:t>DO NOT CHANGE</a:t>
          </a:r>
        </a:p>
        <a:p>
          <a:pPr marL="0" marR="0" lvl="0" indent="0" defTabSz="914400" eaLnBrk="1" fontAlgn="auto" latinLnBrk="0" hangingPunct="1">
            <a:lnSpc>
              <a:spcPct val="100000"/>
            </a:lnSpc>
            <a:spcBef>
              <a:spcPts val="0"/>
            </a:spcBef>
            <a:spcAft>
              <a:spcPts val="0"/>
            </a:spcAft>
            <a:buClrTx/>
            <a:buSzTx/>
            <a:buFontTx/>
            <a:buNone/>
            <a:tabLst/>
            <a:defRPr/>
          </a:pPr>
          <a:endParaRPr lang="da-DK"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da-DK" sz="1100" b="1">
              <a:solidFill>
                <a:schemeClr val="dk1"/>
              </a:solidFill>
              <a:effectLst/>
              <a:latin typeface="+mn-lt"/>
              <a:ea typeface="+mn-ea"/>
              <a:cs typeface="+mn-cs"/>
            </a:rPr>
            <a:t>IT resources:</a:t>
          </a:r>
        </a:p>
        <a:p>
          <a:pPr marL="0" marR="0" lvl="0" indent="0" defTabSz="914400" eaLnBrk="1" fontAlgn="auto" latinLnBrk="0" hangingPunct="1">
            <a:lnSpc>
              <a:spcPct val="100000"/>
            </a:lnSpc>
            <a:spcBef>
              <a:spcPts val="0"/>
            </a:spcBef>
            <a:spcAft>
              <a:spcPts val="0"/>
            </a:spcAft>
            <a:buClrTx/>
            <a:buSzTx/>
            <a:buFontTx/>
            <a:buNone/>
            <a:tabLst/>
            <a:defRPr/>
          </a:pPr>
          <a:r>
            <a:rPr lang="da-DK" sz="1100">
              <a:solidFill>
                <a:schemeClr val="dk1"/>
              </a:solidFill>
              <a:effectLst/>
              <a:latin typeface="+mn-lt"/>
              <a:ea typeface="+mn-ea"/>
              <a:cs typeface="+mn-cs"/>
            </a:rPr>
            <a:t>- You should fill out the expected share of</a:t>
          </a:r>
          <a:r>
            <a:rPr lang="da-DK" sz="1100" baseline="0">
              <a:solidFill>
                <a:schemeClr val="dk1"/>
              </a:solidFill>
              <a:effectLst/>
              <a:latin typeface="+mn-lt"/>
              <a:ea typeface="+mn-ea"/>
              <a:cs typeface="+mn-cs"/>
            </a:rPr>
            <a:t> internal resources and the distribution between three different types of external resources (to be used if you need different external resources with different average hourly cost (eg. on-shore, near-shore, off-shore)). If you only need one type of external resource, then only insert a fraction in 'External IT 1 resource fraction' and leave the two others empty.</a:t>
          </a:r>
        </a:p>
        <a:p>
          <a:r>
            <a:rPr lang="da-DK" sz="1100" b="0" baseline="0">
              <a:solidFill>
                <a:schemeClr val="dk1"/>
              </a:solidFill>
              <a:effectLst/>
              <a:latin typeface="+mn-lt"/>
              <a:ea typeface="+mn-ea"/>
              <a:cs typeface="+mn-cs"/>
            </a:rPr>
            <a:t>--&gt; Check in cell C14 will indicate if the fractions sum to 1. </a:t>
          </a:r>
          <a:r>
            <a:rPr lang="da-DK" sz="1100" b="0" baseline="0">
              <a:solidFill>
                <a:srgbClr val="00B050"/>
              </a:solidFill>
              <a:effectLst/>
              <a:latin typeface="+mn-lt"/>
              <a:ea typeface="+mn-ea"/>
              <a:cs typeface="+mn-cs"/>
            </a:rPr>
            <a:t>OK</a:t>
          </a:r>
          <a:r>
            <a:rPr lang="da-DK" sz="1100" b="0" baseline="0">
              <a:solidFill>
                <a:schemeClr val="dk1"/>
              </a:solidFill>
              <a:effectLst/>
              <a:latin typeface="+mn-lt"/>
              <a:ea typeface="+mn-ea"/>
              <a:cs typeface="+mn-cs"/>
            </a:rPr>
            <a:t> or </a:t>
          </a:r>
          <a:r>
            <a:rPr lang="da-DK" sz="1100" b="0" baseline="0">
              <a:solidFill>
                <a:srgbClr val="FF0000"/>
              </a:solidFill>
              <a:effectLst/>
              <a:latin typeface="+mn-lt"/>
              <a:ea typeface="+mn-ea"/>
              <a:cs typeface="+mn-cs"/>
            </a:rPr>
            <a:t>Not OK</a:t>
          </a:r>
          <a:endParaRPr lang="da-DK">
            <a:solidFill>
              <a:srgbClr val="FF0000"/>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da-DK">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da-DK" b="1">
              <a:effectLst/>
            </a:rPr>
            <a:t>Int/Ext. average</a:t>
          </a:r>
          <a:r>
            <a:rPr lang="da-DK" b="1" baseline="0">
              <a:effectLst/>
            </a:rPr>
            <a:t> cost assumptions:</a:t>
          </a:r>
          <a:endParaRPr lang="da-DK" b="1">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da-DK">
              <a:effectLst/>
            </a:rPr>
            <a:t>-</a:t>
          </a:r>
          <a:r>
            <a:rPr lang="da-DK" baseline="0">
              <a:effectLst/>
            </a:rPr>
            <a:t> The hourly rates are calculated based on an average. Only change if you know the actual rate of your resources or want to apply a different average. </a:t>
          </a:r>
          <a:endParaRPr lang="da-DK">
            <a:effectLst/>
          </a:endParaRPr>
        </a:p>
        <a:p>
          <a:endParaRPr lang="da-DK" sz="1100">
            <a:solidFill>
              <a:schemeClr val="dk1"/>
            </a:solidFill>
            <a:effectLst/>
            <a:latin typeface="+mn-lt"/>
            <a:ea typeface="+mn-ea"/>
            <a:cs typeface="+mn-cs"/>
          </a:endParaRPr>
        </a:p>
        <a:p>
          <a:endParaRPr lang="da-DK" sz="1100"/>
        </a:p>
        <a:p>
          <a:endParaRPr lang="da-DK"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12</xdr:col>
      <xdr:colOff>47625</xdr:colOff>
      <xdr:row>2</xdr:row>
      <xdr:rowOff>357188</xdr:rowOff>
    </xdr:from>
    <xdr:to>
      <xdr:col>20</xdr:col>
      <xdr:colOff>302418</xdr:colOff>
      <xdr:row>7</xdr:row>
      <xdr:rowOff>115729</xdr:rowOff>
    </xdr:to>
    <xdr:sp macro="" textlink="">
      <xdr:nvSpPr>
        <xdr:cNvPr id="2" name="TextBox 10">
          <a:extLst>
            <a:ext uri="{FF2B5EF4-FFF2-40B4-BE49-F238E27FC236}">
              <a16:creationId xmlns:a16="http://schemas.microsoft.com/office/drawing/2014/main" id="{68C2E511-1C5E-4AED-9B20-9FBEDD77B4C5}"/>
            </a:ext>
          </a:extLst>
        </xdr:cNvPr>
        <xdr:cNvSpPr txBox="1"/>
      </xdr:nvSpPr>
      <xdr:spPr>
        <a:xfrm>
          <a:off x="15442406" y="738188"/>
          <a:ext cx="5791200" cy="1223010"/>
        </a:xfrm>
        <a:prstGeom prst="rect">
          <a:avLst/>
        </a:prstGeom>
        <a:solidFill>
          <a:schemeClr val="bg1">
            <a:lumMod val="95000"/>
          </a:schemeClr>
        </a:solidFill>
        <a:ln w="1905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1100" b="1">
              <a:solidFill>
                <a:schemeClr val="tx1"/>
              </a:solidFill>
            </a:rPr>
            <a:t>Guidelines IT Services (OPS) cost:</a:t>
          </a:r>
        </a:p>
        <a:p>
          <a:r>
            <a:rPr lang="da-DK" sz="1100" b="0">
              <a:solidFill>
                <a:schemeClr val="tx1"/>
              </a:solidFill>
            </a:rPr>
            <a:t>- Estimation and documention of Operational IT cost</a:t>
          </a:r>
          <a:r>
            <a:rPr lang="da-DK" sz="1100" b="0" baseline="0">
              <a:solidFill>
                <a:schemeClr val="tx1"/>
              </a:solidFill>
            </a:rPr>
            <a:t> (L</a:t>
          </a:r>
          <a:r>
            <a:rPr lang="da-DK" sz="1100" baseline="0">
              <a:solidFill>
                <a:schemeClr val="tx1"/>
              </a:solidFill>
              <a:effectLst/>
              <a:latin typeface="+mn-lt"/>
              <a:ea typeface="+mn-ea"/>
              <a:cs typeface="+mn-cs"/>
            </a:rPr>
            <a:t>icenses, Azure, Support, internal staff etc.)</a:t>
          </a:r>
        </a:p>
        <a:p>
          <a:r>
            <a:rPr lang="da-DK" sz="1100" baseline="0">
              <a:solidFill>
                <a:schemeClr val="tx1"/>
              </a:solidFill>
              <a:effectLst/>
              <a:latin typeface="+mn-lt"/>
              <a:ea typeface="+mn-ea"/>
              <a:cs typeface="+mn-cs"/>
            </a:rPr>
            <a:t>- Use contact list to find relevant stakeholders in IT Services and align with them on input</a:t>
          </a:r>
        </a:p>
        <a:p>
          <a:endParaRPr lang="da-DK" sz="1100" b="1" i="1" baseline="0">
            <a:solidFill>
              <a:schemeClr val="tx1"/>
            </a:solidFill>
          </a:endParaRPr>
        </a:p>
        <a:p>
          <a:r>
            <a:rPr lang="da-DK" sz="1100" b="0" baseline="0">
              <a:solidFill>
                <a:schemeClr val="tx1"/>
              </a:solidFill>
            </a:rPr>
            <a:t>- Green              cells are mandatory for all to fill in</a:t>
          </a:r>
        </a:p>
        <a:p>
          <a:r>
            <a:rPr lang="da-DK" sz="1100" b="0" baseline="0">
              <a:solidFill>
                <a:schemeClr val="tx1"/>
              </a:solidFill>
            </a:rPr>
            <a:t>- Yellow              cells are to be used for the cost estimation (and description text can be replaced)</a:t>
          </a:r>
        </a:p>
        <a:p>
          <a:endParaRPr lang="da-DK" sz="1100" b="0">
            <a:solidFill>
              <a:srgbClr val="005426"/>
            </a:solidFill>
          </a:endParaRPr>
        </a:p>
      </xdr:txBody>
    </xdr:sp>
    <xdr:clientData/>
  </xdr:twoCellAnchor>
  <xdr:twoCellAnchor>
    <xdr:from>
      <xdr:col>7</xdr:col>
      <xdr:colOff>59531</xdr:colOff>
      <xdr:row>6</xdr:row>
      <xdr:rowOff>178593</xdr:rowOff>
    </xdr:from>
    <xdr:to>
      <xdr:col>8</xdr:col>
      <xdr:colOff>904873</xdr:colOff>
      <xdr:row>8</xdr:row>
      <xdr:rowOff>119061</xdr:rowOff>
    </xdr:to>
    <xdr:sp macro="" textlink="">
      <xdr:nvSpPr>
        <xdr:cNvPr id="6" name="TextBox 5">
          <a:extLst>
            <a:ext uri="{FF2B5EF4-FFF2-40B4-BE49-F238E27FC236}">
              <a16:creationId xmlns:a16="http://schemas.microsoft.com/office/drawing/2014/main" id="{F0763B3C-3E20-E062-5C52-2606C7F0EEF9}"/>
            </a:ext>
          </a:extLst>
        </xdr:cNvPr>
        <xdr:cNvSpPr txBox="1"/>
      </xdr:nvSpPr>
      <xdr:spPr>
        <a:xfrm>
          <a:off x="12692062" y="1821656"/>
          <a:ext cx="1821655" cy="34528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1600" b="1">
              <a:solidFill>
                <a:srgbClr val="C00000"/>
              </a:solidFill>
            </a:rPr>
            <a:t>Project cost</a:t>
          </a:r>
        </a:p>
      </xdr:txBody>
    </xdr:sp>
    <xdr:clientData/>
  </xdr:twoCellAnchor>
  <xdr:twoCellAnchor>
    <xdr:from>
      <xdr:col>6</xdr:col>
      <xdr:colOff>476248</xdr:colOff>
      <xdr:row>7</xdr:row>
      <xdr:rowOff>166688</xdr:rowOff>
    </xdr:from>
    <xdr:to>
      <xdr:col>7</xdr:col>
      <xdr:colOff>583405</xdr:colOff>
      <xdr:row>12</xdr:row>
      <xdr:rowOff>500062</xdr:rowOff>
    </xdr:to>
    <xdr:sp macro="" textlink="">
      <xdr:nvSpPr>
        <xdr:cNvPr id="7" name="Arc 6">
          <a:extLst>
            <a:ext uri="{FF2B5EF4-FFF2-40B4-BE49-F238E27FC236}">
              <a16:creationId xmlns:a16="http://schemas.microsoft.com/office/drawing/2014/main" id="{920745DD-2B9F-991C-26EA-DC9EC4E89CD6}"/>
            </a:ext>
          </a:extLst>
        </xdr:cNvPr>
        <xdr:cNvSpPr/>
      </xdr:nvSpPr>
      <xdr:spPr>
        <a:xfrm flipH="1">
          <a:off x="12132467" y="2012157"/>
          <a:ext cx="1083469" cy="1333499"/>
        </a:xfrm>
        <a:prstGeom prst="arc">
          <a:avLst/>
        </a:prstGeom>
        <a:ln w="28575">
          <a:solidFill>
            <a:srgbClr val="C00000"/>
          </a:solidFill>
          <a:tail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a-DK" sz="1100"/>
        </a:p>
      </xdr:txBody>
    </xdr:sp>
    <xdr:clientData/>
  </xdr:twoCellAnchor>
  <xdr:twoCellAnchor>
    <xdr:from>
      <xdr:col>12</xdr:col>
      <xdr:colOff>600075</xdr:colOff>
      <xdr:row>5</xdr:row>
      <xdr:rowOff>219075</xdr:rowOff>
    </xdr:from>
    <xdr:to>
      <xdr:col>13</xdr:col>
      <xdr:colOff>350475</xdr:colOff>
      <xdr:row>5</xdr:row>
      <xdr:rowOff>363075</xdr:rowOff>
    </xdr:to>
    <xdr:sp macro="" textlink="">
      <xdr:nvSpPr>
        <xdr:cNvPr id="8" name="Rectangle 7">
          <a:extLst>
            <a:ext uri="{FF2B5EF4-FFF2-40B4-BE49-F238E27FC236}">
              <a16:creationId xmlns:a16="http://schemas.microsoft.com/office/drawing/2014/main" id="{B13B7AB0-6794-441B-88BF-015108472D09}"/>
            </a:ext>
          </a:extLst>
        </xdr:cNvPr>
        <xdr:cNvSpPr/>
      </xdr:nvSpPr>
      <xdr:spPr>
        <a:xfrm>
          <a:off x="17325975" y="1485900"/>
          <a:ext cx="360000" cy="144000"/>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a-DK" sz="1100"/>
        </a:p>
      </xdr:txBody>
    </xdr:sp>
    <xdr:clientData/>
  </xdr:twoCellAnchor>
  <xdr:twoCellAnchor>
    <xdr:from>
      <xdr:col>13</xdr:col>
      <xdr:colOff>28575</xdr:colOff>
      <xdr:row>6</xdr:row>
      <xdr:rowOff>9525</xdr:rowOff>
    </xdr:from>
    <xdr:to>
      <xdr:col>13</xdr:col>
      <xdr:colOff>388575</xdr:colOff>
      <xdr:row>6</xdr:row>
      <xdr:rowOff>153525</xdr:rowOff>
    </xdr:to>
    <xdr:sp macro="" textlink="">
      <xdr:nvSpPr>
        <xdr:cNvPr id="9" name="Rectangle 8">
          <a:extLst>
            <a:ext uri="{FF2B5EF4-FFF2-40B4-BE49-F238E27FC236}">
              <a16:creationId xmlns:a16="http://schemas.microsoft.com/office/drawing/2014/main" id="{16351F34-D49B-4924-A8CC-65E1FE95A4EA}"/>
            </a:ext>
          </a:extLst>
        </xdr:cNvPr>
        <xdr:cNvSpPr/>
      </xdr:nvSpPr>
      <xdr:spPr>
        <a:xfrm>
          <a:off x="17364075" y="1657350"/>
          <a:ext cx="360000" cy="144000"/>
        </a:xfrm>
        <a:prstGeom prst="rect">
          <a:avLst/>
        </a:prstGeom>
        <a:solidFill>
          <a:srgbClr val="FFFF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a-DK"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9</xdr:col>
      <xdr:colOff>0</xdr:colOff>
      <xdr:row>7</xdr:row>
      <xdr:rowOff>0</xdr:rowOff>
    </xdr:from>
    <xdr:to>
      <xdr:col>15</xdr:col>
      <xdr:colOff>143550</xdr:colOff>
      <xdr:row>10</xdr:row>
      <xdr:rowOff>80010</xdr:rowOff>
    </xdr:to>
    <xdr:sp macro="" textlink="">
      <xdr:nvSpPr>
        <xdr:cNvPr id="7" name="TextBox 6">
          <a:extLst>
            <a:ext uri="{FF2B5EF4-FFF2-40B4-BE49-F238E27FC236}">
              <a16:creationId xmlns:a16="http://schemas.microsoft.com/office/drawing/2014/main" id="{6DFF5931-FD99-4704-BF4E-29D98E88032A}"/>
            </a:ext>
          </a:extLst>
        </xdr:cNvPr>
        <xdr:cNvSpPr txBox="1"/>
      </xdr:nvSpPr>
      <xdr:spPr>
        <a:xfrm>
          <a:off x="12858750" y="2809875"/>
          <a:ext cx="3572550" cy="651510"/>
        </a:xfrm>
        <a:prstGeom prst="rect">
          <a:avLst/>
        </a:prstGeom>
        <a:solidFill>
          <a:schemeClr val="bg1">
            <a:lumMod val="95000"/>
          </a:schemeClr>
        </a:solidFill>
        <a:ln w="1905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1100" b="1"/>
            <a:t>Guidelines CAPEX</a:t>
          </a:r>
          <a:r>
            <a:rPr lang="da-DK" sz="1100" b="1" baseline="0"/>
            <a:t>Insights</a:t>
          </a:r>
          <a:r>
            <a:rPr lang="da-DK" sz="1100" b="1"/>
            <a:t> Overview:</a:t>
          </a:r>
        </a:p>
        <a:p>
          <a:r>
            <a:rPr lang="da-DK" sz="1100">
              <a:solidFill>
                <a:schemeClr val="dk1"/>
              </a:solidFill>
              <a:effectLst/>
              <a:latin typeface="+mn-lt"/>
              <a:ea typeface="+mn-ea"/>
              <a:cs typeface="+mn-cs"/>
            </a:rPr>
            <a:t>- Automatically calculated based on Cost overview</a:t>
          </a:r>
        </a:p>
        <a:p>
          <a:r>
            <a:rPr lang="da-DK" sz="1100">
              <a:solidFill>
                <a:schemeClr val="dk1"/>
              </a:solidFill>
              <a:effectLst/>
              <a:latin typeface="+mn-lt"/>
              <a:ea typeface="+mn-ea"/>
              <a:cs typeface="+mn-cs"/>
            </a:rPr>
            <a:t>- Provides details for</a:t>
          </a:r>
          <a:r>
            <a:rPr lang="da-DK" sz="1100" baseline="0">
              <a:solidFill>
                <a:schemeClr val="dk1"/>
              </a:solidFill>
              <a:effectLst/>
              <a:latin typeface="+mn-lt"/>
              <a:ea typeface="+mn-ea"/>
              <a:cs typeface="+mn-cs"/>
            </a:rPr>
            <a:t> easy transfer of data to CAPEXInsights</a:t>
          </a:r>
        </a:p>
        <a:p>
          <a:endParaRPr lang="da-DK">
            <a:effectLst/>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2</xdr:row>
      <xdr:rowOff>0</xdr:rowOff>
    </xdr:from>
    <xdr:to>
      <xdr:col>9</xdr:col>
      <xdr:colOff>464820</xdr:colOff>
      <xdr:row>4</xdr:row>
      <xdr:rowOff>19050</xdr:rowOff>
    </xdr:to>
    <xdr:sp macro="" textlink="">
      <xdr:nvSpPr>
        <xdr:cNvPr id="2" name="TextBox 1">
          <a:extLst>
            <a:ext uri="{FF2B5EF4-FFF2-40B4-BE49-F238E27FC236}">
              <a16:creationId xmlns:a16="http://schemas.microsoft.com/office/drawing/2014/main" id="{8F5B8C83-2A21-4BA0-A797-2BBB1B7E958B}"/>
            </a:ext>
          </a:extLst>
        </xdr:cNvPr>
        <xdr:cNvSpPr txBox="1"/>
      </xdr:nvSpPr>
      <xdr:spPr>
        <a:xfrm>
          <a:off x="6429375" y="381000"/>
          <a:ext cx="3322320" cy="723900"/>
        </a:xfrm>
        <a:prstGeom prst="rect">
          <a:avLst/>
        </a:prstGeom>
        <a:solidFill>
          <a:schemeClr val="bg1">
            <a:lumMod val="95000"/>
          </a:schemeClr>
        </a:solidFill>
        <a:ln w="1905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1100" b="1"/>
            <a:t>Guidelines Other Costs:</a:t>
          </a:r>
        </a:p>
        <a:p>
          <a:r>
            <a:rPr lang="en-US" sz="1100">
              <a:solidFill>
                <a:schemeClr val="dk1"/>
              </a:solidFill>
              <a:effectLst/>
              <a:latin typeface="+mn-lt"/>
              <a:ea typeface="+mn-ea"/>
              <a:cs typeface="+mn-cs"/>
            </a:rPr>
            <a:t>- Used</a:t>
          </a:r>
          <a:r>
            <a:rPr lang="en-US" sz="1100" baseline="0">
              <a:solidFill>
                <a:schemeClr val="dk1"/>
              </a:solidFill>
              <a:effectLst/>
              <a:latin typeface="+mn-lt"/>
              <a:ea typeface="+mn-ea"/>
              <a:cs typeface="+mn-cs"/>
            </a:rPr>
            <a:t> for other costs eg. Travel, Hardware, Fixed price vendor deliverables, other</a:t>
          </a:r>
          <a:endParaRPr lang="da-DK" sz="1100"/>
        </a:p>
        <a:p>
          <a:endParaRPr lang="da-DK"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11</xdr:col>
      <xdr:colOff>17145</xdr:colOff>
      <xdr:row>9</xdr:row>
      <xdr:rowOff>5716</xdr:rowOff>
    </xdr:from>
    <xdr:to>
      <xdr:col>20</xdr:col>
      <xdr:colOff>561975</xdr:colOff>
      <xdr:row>13</xdr:row>
      <xdr:rowOff>47626</xdr:rowOff>
    </xdr:to>
    <xdr:sp macro="" textlink="">
      <xdr:nvSpPr>
        <xdr:cNvPr id="4" name="TextBox 1">
          <a:extLst>
            <a:ext uri="{FF2B5EF4-FFF2-40B4-BE49-F238E27FC236}">
              <a16:creationId xmlns:a16="http://schemas.microsoft.com/office/drawing/2014/main" id="{00000000-0008-0000-0100-000004000000}"/>
            </a:ext>
          </a:extLst>
        </xdr:cNvPr>
        <xdr:cNvSpPr txBox="1"/>
      </xdr:nvSpPr>
      <xdr:spPr>
        <a:xfrm>
          <a:off x="11885295" y="1720216"/>
          <a:ext cx="5688330" cy="994410"/>
        </a:xfrm>
        <a:prstGeom prst="rect">
          <a:avLst/>
        </a:prstGeom>
        <a:solidFill>
          <a:schemeClr val="bg1">
            <a:lumMod val="95000"/>
          </a:schemeClr>
        </a:solidFill>
        <a:ln w="1905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1100" b="1"/>
            <a:t>Guidelines Cost overview:</a:t>
          </a:r>
        </a:p>
        <a:p>
          <a:r>
            <a:rPr lang="da-DK" sz="1100" b="0"/>
            <a:t>-</a:t>
          </a:r>
          <a:r>
            <a:rPr lang="da-DK" sz="1100" b="0" baseline="0"/>
            <a:t>                Automatically calculated. </a:t>
          </a:r>
          <a:r>
            <a:rPr lang="da-DK" sz="1100" b="1" baseline="0"/>
            <a:t>DO NOT CHANGE</a:t>
          </a:r>
        </a:p>
        <a:p>
          <a:r>
            <a:rPr lang="da-DK" sz="1100" b="0" baseline="0">
              <a:solidFill>
                <a:schemeClr val="dk1"/>
              </a:solidFill>
              <a:latin typeface="+mn-lt"/>
              <a:ea typeface="+mn-ea"/>
              <a:cs typeface="+mn-cs"/>
            </a:rPr>
            <a:t>-                 Mandatory </a:t>
          </a:r>
          <a:r>
            <a:rPr lang="da-DK" sz="1100" baseline="0">
              <a:solidFill>
                <a:schemeClr val="dk1"/>
              </a:solidFill>
              <a:effectLst/>
              <a:latin typeface="+mn-lt"/>
              <a:ea typeface="+mn-ea"/>
              <a:cs typeface="+mn-cs"/>
            </a:rPr>
            <a:t>to consider/fill out</a:t>
          </a:r>
          <a:endParaRPr lang="da-DK" sz="1100" b="1" baseline="0"/>
        </a:p>
        <a:p>
          <a:r>
            <a:rPr lang="da-DK" sz="1100" b="0" baseline="0"/>
            <a:t>- Fill in the table with distribution of the costs over the years</a:t>
          </a:r>
        </a:p>
        <a:p>
          <a:r>
            <a:rPr lang="da-DK" sz="1100" b="0" baseline="0"/>
            <a:t>      --&gt; Check will indicate if it is done correctly. </a:t>
          </a:r>
          <a:r>
            <a:rPr lang="da-DK" sz="1100" b="0" baseline="0">
              <a:solidFill>
                <a:srgbClr val="00B050"/>
              </a:solidFill>
            </a:rPr>
            <a:t>OK</a:t>
          </a:r>
          <a:r>
            <a:rPr lang="da-DK" sz="1100" b="0" baseline="0"/>
            <a:t> or </a:t>
          </a:r>
          <a:r>
            <a:rPr lang="da-DK" sz="1100" b="0" baseline="0">
              <a:solidFill>
                <a:srgbClr val="FF0000"/>
              </a:solidFill>
            </a:rPr>
            <a:t>Not OK</a:t>
          </a:r>
          <a:endParaRPr lang="da-DK" sz="1100" b="0">
            <a:solidFill>
              <a:srgbClr val="FF0000"/>
            </a:solidFill>
          </a:endParaRPr>
        </a:p>
      </xdr:txBody>
    </xdr:sp>
    <xdr:clientData/>
  </xdr:twoCellAnchor>
  <xdr:twoCellAnchor>
    <xdr:from>
      <xdr:col>11</xdr:col>
      <xdr:colOff>247650</xdr:colOff>
      <xdr:row>9</xdr:row>
      <xdr:rowOff>228600</xdr:rowOff>
    </xdr:from>
    <xdr:to>
      <xdr:col>12</xdr:col>
      <xdr:colOff>36150</xdr:colOff>
      <xdr:row>9</xdr:row>
      <xdr:rowOff>372600</xdr:rowOff>
    </xdr:to>
    <xdr:sp macro="" textlink="">
      <xdr:nvSpPr>
        <xdr:cNvPr id="2" name="Rectangle 1">
          <a:extLst>
            <a:ext uri="{FF2B5EF4-FFF2-40B4-BE49-F238E27FC236}">
              <a16:creationId xmlns:a16="http://schemas.microsoft.com/office/drawing/2014/main" id="{810C3FE5-B305-4DB0-84D1-8CB63314E0F4}"/>
            </a:ext>
          </a:extLst>
        </xdr:cNvPr>
        <xdr:cNvSpPr/>
      </xdr:nvSpPr>
      <xdr:spPr>
        <a:xfrm>
          <a:off x="12115800" y="1943100"/>
          <a:ext cx="360000" cy="144000"/>
        </a:xfrm>
        <a:prstGeom prst="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a-DK" sz="1100"/>
        </a:p>
      </xdr:txBody>
    </xdr:sp>
    <xdr:clientData/>
  </xdr:twoCellAnchor>
  <xdr:twoCellAnchor>
    <xdr:from>
      <xdr:col>11</xdr:col>
      <xdr:colOff>249555</xdr:colOff>
      <xdr:row>10</xdr:row>
      <xdr:rowOff>28576</xdr:rowOff>
    </xdr:from>
    <xdr:to>
      <xdr:col>12</xdr:col>
      <xdr:colOff>38055</xdr:colOff>
      <xdr:row>10</xdr:row>
      <xdr:rowOff>172576</xdr:rowOff>
    </xdr:to>
    <xdr:sp macro="" textlink="">
      <xdr:nvSpPr>
        <xdr:cNvPr id="5" name="Rectangle 2">
          <a:extLst>
            <a:ext uri="{FF2B5EF4-FFF2-40B4-BE49-F238E27FC236}">
              <a16:creationId xmlns:a16="http://schemas.microsoft.com/office/drawing/2014/main" id="{9F8FF1F6-441D-44B5-A564-5CA73C43B495}"/>
            </a:ext>
          </a:extLst>
        </xdr:cNvPr>
        <xdr:cNvSpPr/>
      </xdr:nvSpPr>
      <xdr:spPr>
        <a:xfrm>
          <a:off x="12117705" y="2124076"/>
          <a:ext cx="360000" cy="144000"/>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a-DK"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2.bin"/><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4.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customProperty" Target="../customProperty5.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customProperty" Target="../customProperty6.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customProperty" Target="../customProperty7.bin"/><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customProperty" Target="../customProperty8.bin"/><Relationship Id="rId1" Type="http://schemas.openxmlformats.org/officeDocument/2006/relationships/printerSettings" Target="../printerSettings/printerSettings7.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7848E-D13E-4148-A91E-5C3FC3F4137E}">
  <sheetPr codeName="Sheet1"/>
  <dimension ref="B1:AJ23"/>
  <sheetViews>
    <sheetView showGridLines="0" topLeftCell="A10" workbookViewId="0">
      <selection activeCell="C12" sqref="C12:D12"/>
    </sheetView>
  </sheetViews>
  <sheetFormatPr defaultRowHeight="14.45"/>
  <cols>
    <col min="1" max="1" width="1.42578125" customWidth="1"/>
    <col min="2" max="2" width="26.7109375" bestFit="1" customWidth="1"/>
  </cols>
  <sheetData>
    <row r="1" spans="2:36" s="73" customFormat="1">
      <c r="B1" s="73" t="s">
        <v>0</v>
      </c>
    </row>
    <row r="2" spans="2:36" s="77" customFormat="1"/>
    <row r="3" spans="2:36">
      <c r="B3" s="3" t="s">
        <v>1</v>
      </c>
      <c r="AG3" s="88"/>
      <c r="AH3" s="88">
        <v>2025</v>
      </c>
      <c r="AI3" s="88"/>
    </row>
    <row r="4" spans="2:36">
      <c r="B4" t="s">
        <v>2</v>
      </c>
      <c r="AF4" s="224"/>
      <c r="AG4" s="88"/>
      <c r="AH4" s="88">
        <v>2026</v>
      </c>
      <c r="AI4" s="88"/>
      <c r="AJ4" s="224"/>
    </row>
    <row r="5" spans="2:36">
      <c r="B5" t="s">
        <v>3</v>
      </c>
      <c r="AF5" s="224"/>
      <c r="AG5" s="88"/>
      <c r="AH5" s="88">
        <v>2027</v>
      </c>
      <c r="AI5" s="88"/>
      <c r="AJ5" s="224"/>
    </row>
    <row r="6" spans="2:36">
      <c r="B6" t="s">
        <v>4</v>
      </c>
      <c r="AF6" s="224"/>
      <c r="AG6" s="88"/>
      <c r="AH6" s="88">
        <v>2028</v>
      </c>
      <c r="AI6" s="88"/>
      <c r="AJ6" s="224"/>
    </row>
    <row r="7" spans="2:36">
      <c r="B7" t="s">
        <v>5</v>
      </c>
      <c r="AF7" s="224"/>
      <c r="AG7" s="88"/>
      <c r="AH7" s="88">
        <v>2029</v>
      </c>
      <c r="AI7" s="88"/>
      <c r="AJ7" s="224"/>
    </row>
    <row r="8" spans="2:36">
      <c r="B8" t="s">
        <v>6</v>
      </c>
      <c r="AF8" s="224"/>
      <c r="AG8" s="88"/>
      <c r="AH8" s="88">
        <v>2030</v>
      </c>
      <c r="AI8" s="88"/>
      <c r="AJ8" s="224"/>
    </row>
    <row r="9" spans="2:36">
      <c r="AF9" s="224"/>
      <c r="AG9" s="88"/>
      <c r="AH9" s="88"/>
      <c r="AI9" s="88"/>
      <c r="AJ9" s="224"/>
    </row>
    <row r="10" spans="2:36">
      <c r="B10" s="3" t="s">
        <v>7</v>
      </c>
      <c r="AF10" s="224"/>
      <c r="AG10" s="88"/>
      <c r="AH10" s="88"/>
      <c r="AI10" s="88"/>
      <c r="AJ10" s="224"/>
    </row>
    <row r="11" spans="2:36">
      <c r="B11" s="226" t="s">
        <v>8</v>
      </c>
      <c r="C11" s="250" t="s">
        <v>9</v>
      </c>
      <c r="D11" s="251"/>
      <c r="AF11" s="224"/>
      <c r="AG11" s="88"/>
      <c r="AH11" s="88"/>
      <c r="AI11" s="88"/>
      <c r="AJ11" s="224"/>
    </row>
    <row r="12" spans="2:36">
      <c r="B12" s="227" t="s">
        <v>10</v>
      </c>
      <c r="C12" s="252" t="s">
        <v>11</v>
      </c>
      <c r="D12" s="253"/>
      <c r="AF12" s="224"/>
      <c r="AG12" s="88"/>
      <c r="AH12" s="88"/>
      <c r="AI12" s="88"/>
      <c r="AJ12" s="224"/>
    </row>
    <row r="13" spans="2:36">
      <c r="AF13" s="224"/>
      <c r="AG13" s="88"/>
      <c r="AH13" s="88"/>
      <c r="AI13" s="88"/>
      <c r="AJ13" s="224"/>
    </row>
    <row r="14" spans="2:36" ht="17.100000000000001">
      <c r="B14" s="260" t="s">
        <v>12</v>
      </c>
      <c r="C14" s="260"/>
      <c r="D14" s="259" t="s">
        <v>13</v>
      </c>
      <c r="E14" s="259"/>
      <c r="F14" s="259"/>
      <c r="G14" s="259"/>
      <c r="H14" s="259"/>
      <c r="I14" s="259"/>
      <c r="J14" s="259"/>
      <c r="K14" s="259"/>
      <c r="L14" s="259"/>
      <c r="M14" s="259"/>
      <c r="AF14" s="224"/>
      <c r="AG14" s="88"/>
      <c r="AH14" s="88"/>
      <c r="AI14" s="88"/>
      <c r="AJ14" s="224"/>
    </row>
    <row r="15" spans="2:36" ht="20.25" customHeight="1">
      <c r="B15" s="261" t="s">
        <v>14</v>
      </c>
      <c r="C15" s="261"/>
      <c r="AF15" s="224"/>
      <c r="AG15" s="88"/>
      <c r="AH15" s="88"/>
      <c r="AI15" s="88"/>
      <c r="AJ15" s="224"/>
    </row>
    <row r="16" spans="2:36" ht="20.25" customHeight="1">
      <c r="B16" s="262" t="s">
        <v>15</v>
      </c>
      <c r="C16" s="262"/>
      <c r="AG16" s="88"/>
      <c r="AH16" s="88"/>
      <c r="AI16" s="88"/>
    </row>
    <row r="17" spans="2:35" ht="20.25" customHeight="1">
      <c r="B17" s="262" t="s">
        <v>16</v>
      </c>
      <c r="C17" s="262"/>
      <c r="AG17" s="88"/>
      <c r="AH17" s="88"/>
      <c r="AI17" s="88"/>
    </row>
    <row r="18" spans="2:35" ht="20.25" customHeight="1">
      <c r="B18" s="258" t="s">
        <v>17</v>
      </c>
      <c r="C18" s="258"/>
      <c r="AG18" s="88"/>
      <c r="AH18" s="88"/>
      <c r="AI18" s="88"/>
    </row>
    <row r="19" spans="2:35" ht="20.25" customHeight="1">
      <c r="B19" s="258" t="s">
        <v>18</v>
      </c>
      <c r="C19" s="258"/>
    </row>
    <row r="20" spans="2:35" ht="20.25" customHeight="1">
      <c r="B20" s="258" t="s">
        <v>19</v>
      </c>
      <c r="C20" s="258"/>
    </row>
    <row r="21" spans="2:35" ht="15.6">
      <c r="B21" s="11"/>
      <c r="C21" s="11"/>
    </row>
    <row r="22" spans="2:35">
      <c r="B22" s="254" t="s">
        <v>20</v>
      </c>
      <c r="C22" s="255"/>
    </row>
    <row r="23" spans="2:35">
      <c r="B23" s="256">
        <v>2026</v>
      </c>
      <c r="C23" s="257"/>
    </row>
  </sheetData>
  <mergeCells count="12">
    <mergeCell ref="C11:D11"/>
    <mergeCell ref="C12:D12"/>
    <mergeCell ref="B22:C22"/>
    <mergeCell ref="B23:C23"/>
    <mergeCell ref="B20:C20"/>
    <mergeCell ref="D14:M14"/>
    <mergeCell ref="B19:C19"/>
    <mergeCell ref="B14:C14"/>
    <mergeCell ref="B15:C15"/>
    <mergeCell ref="B18:C18"/>
    <mergeCell ref="B17:C17"/>
    <mergeCell ref="B16:C16"/>
  </mergeCells>
  <dataValidations count="1">
    <dataValidation type="list" allowBlank="1" showInputMessage="1" showErrorMessage="1" sqref="B23:C23" xr:uid="{5F5B1CBC-EAE0-4D68-BDFA-F96F6462B8A1}">
      <formula1>$AH$3:$AH$8</formula1>
    </dataValidation>
  </dataValidations>
  <hyperlinks>
    <hyperlink ref="B18" location="'Other Costs'!A1" display="Other costs " xr:uid="{B878C0B7-F499-48B5-B3E6-D60829C38D94}"/>
    <hyperlink ref="B17" location="'Operations Cost'!A1" display="Operations Cost" xr:uid="{2E6D0694-774C-4EA4-BF94-949A146BC7CA}"/>
    <hyperlink ref="B16" location="'Resource Cost Assumptions'!A1" display="Ressource Cost Assumptions" xr:uid="{1D7AA0C3-F3A4-4CD3-8F79-64A76A252B65}"/>
    <hyperlink ref="B20" location="'AIS Overview'!A1" display="AIS Overview" xr:uid="{32E19425-BF7C-49A2-BD6E-BC0C4B47637B}"/>
    <hyperlink ref="B19" location="'Cost Overview'!A1" display="Cost Overview" xr:uid="{65DF2044-9459-427F-9225-C1D3664F6E03}"/>
    <hyperlink ref="B20:C20" location="'#6 Capex Insight'!A1" display="Capex Insight" xr:uid="{B87FBBD9-C4E2-42F5-A867-E90B1BDF8D25}"/>
    <hyperlink ref="B15:C15" location="'#1 Resource Estimates'!A1" display="Resource Estimates" xr:uid="{98DB1073-E7D4-4F07-B599-CF397B5462B1}"/>
    <hyperlink ref="B17:C17" location="'#3 IT Services (OPS) cost'!A1" display="IT Services (OPS) cost template" xr:uid="{8D36E2A6-24C5-4F1C-9C52-B13716411AFA}"/>
    <hyperlink ref="B16:C16" location="'#2 Resource Cost Assumptions'!A1" display="Resource Cost Assumptions" xr:uid="{AC7FCB2E-F114-4748-A6FC-CD06E8C28212}"/>
    <hyperlink ref="B18:C18" location="'#4 Other Costs'!A1" display="Other costs " xr:uid="{36A48ADC-70A8-46FC-B439-A00755052B45}"/>
    <hyperlink ref="B19:C19" location="'#5 Cost Overview'!A1" display="Cost Overview" xr:uid="{947E57A2-9E0E-4A66-81BE-126769C1C7C9}"/>
  </hyperlinks>
  <pageMargins left="0.7" right="0.7" top="0.75" bottom="0.75" header="0.3" footer="0.3"/>
  <pageSetup paperSize="9" orientation="portrait" r:id="rId1"/>
  <customProperties>
    <customPr name="_pios_id" r:id="rId2"/>
  </customProperties>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dimension ref="A1:T54"/>
  <sheetViews>
    <sheetView showGridLines="0" tabSelected="1" zoomScaleNormal="100" workbookViewId="0">
      <pane ySplit="4" topLeftCell="A5" activePane="bottomLeft" state="frozen"/>
      <selection pane="bottomLeft" activeCell="J46" sqref="J46"/>
    </sheetView>
  </sheetViews>
  <sheetFormatPr defaultColWidth="8.5703125" defaultRowHeight="14.45"/>
  <cols>
    <col min="1" max="1" width="29.28515625" style="95" customWidth="1"/>
    <col min="2" max="2" width="21.28515625" style="95" customWidth="1"/>
    <col min="3" max="3" width="22.28515625" style="95" bestFit="1" customWidth="1"/>
    <col min="4" max="4" width="12.42578125" style="144" customWidth="1"/>
    <col min="5" max="5" width="10" style="95" customWidth="1"/>
    <col min="6" max="7" width="10.5703125" style="95" customWidth="1"/>
    <col min="8" max="8" width="10" style="95" hidden="1" customWidth="1"/>
    <col min="9" max="9" width="10.42578125" style="95" hidden="1" customWidth="1"/>
    <col min="10" max="10" width="15.28515625" style="95" bestFit="1" customWidth="1"/>
    <col min="11" max="11" width="10.5703125" style="95" hidden="1" customWidth="1"/>
    <col min="12" max="12" width="11.42578125" style="95" hidden="1" customWidth="1"/>
    <col min="13" max="13" width="37" style="145" customWidth="1"/>
    <col min="14" max="14" width="3" style="95" customWidth="1"/>
    <col min="15" max="18" width="8.5703125" style="95"/>
    <col min="19" max="20" width="8.5703125" style="97"/>
    <col min="21" max="16384" width="8.5703125" style="95"/>
  </cols>
  <sheetData>
    <row r="1" spans="1:15" s="92" customFormat="1">
      <c r="A1" s="92" t="s">
        <v>0</v>
      </c>
    </row>
    <row r="3" spans="1:15" ht="21.75" customHeight="1">
      <c r="A3" s="263" t="s">
        <v>21</v>
      </c>
      <c r="B3" s="264"/>
      <c r="C3" s="265"/>
      <c r="D3" s="220"/>
      <c r="E3" s="102" t="s">
        <v>22</v>
      </c>
      <c r="F3" s="102" t="s">
        <v>23</v>
      </c>
      <c r="G3" s="102" t="s">
        <v>24</v>
      </c>
      <c r="H3" s="102" t="s">
        <v>25</v>
      </c>
      <c r="I3" s="220"/>
      <c r="J3" s="220"/>
      <c r="K3" s="93"/>
      <c r="L3" s="94"/>
      <c r="M3" s="221"/>
      <c r="O3" s="96"/>
    </row>
    <row r="4" spans="1:15" ht="20.25" customHeight="1">
      <c r="A4" s="98" t="s">
        <v>26</v>
      </c>
      <c r="B4" s="99" t="s">
        <v>27</v>
      </c>
      <c r="C4" s="100" t="s">
        <v>28</v>
      </c>
      <c r="D4" s="100" t="s">
        <v>29</v>
      </c>
      <c r="E4" s="101" t="s">
        <v>30</v>
      </c>
      <c r="F4" s="101" t="s">
        <v>30</v>
      </c>
      <c r="G4" s="101" t="s">
        <v>30</v>
      </c>
      <c r="H4" s="102" t="s">
        <v>31</v>
      </c>
      <c r="I4" s="102" t="s">
        <v>25</v>
      </c>
      <c r="J4" s="102" t="s">
        <v>32</v>
      </c>
      <c r="K4" s="102" t="s">
        <v>25</v>
      </c>
      <c r="L4" s="102" t="s">
        <v>25</v>
      </c>
      <c r="M4" s="103" t="s">
        <v>33</v>
      </c>
    </row>
    <row r="5" spans="1:15">
      <c r="A5" s="104" t="s">
        <v>34</v>
      </c>
      <c r="B5" s="104"/>
      <c r="C5" s="105"/>
      <c r="D5" s="106" t="s">
        <v>35</v>
      </c>
      <c r="E5" s="107">
        <v>10</v>
      </c>
      <c r="F5" s="107">
        <v>40</v>
      </c>
      <c r="G5" s="107">
        <v>100</v>
      </c>
      <c r="H5" s="108">
        <f t="shared" ref="H5:H29" si="0">(G5-E5)/6</f>
        <v>15</v>
      </c>
      <c r="I5" s="108">
        <f t="shared" ref="I5:I29" si="1">(E5+G5+(4*F5))/6</f>
        <v>45</v>
      </c>
      <c r="J5" s="141">
        <f>IF(H5+I5=0,"",H5+I5)</f>
        <v>60</v>
      </c>
      <c r="K5" s="108">
        <f t="shared" ref="K5:K29" si="2">I5+(2*H5)</f>
        <v>75</v>
      </c>
      <c r="L5" s="108"/>
      <c r="M5" s="109"/>
    </row>
    <row r="6" spans="1:15">
      <c r="A6" s="104" t="s">
        <v>36</v>
      </c>
      <c r="B6" s="104"/>
      <c r="C6" s="105"/>
      <c r="D6" s="106" t="s">
        <v>35</v>
      </c>
      <c r="E6" s="107"/>
      <c r="F6" s="107"/>
      <c r="G6" s="107"/>
      <c r="H6" s="108">
        <f t="shared" si="0"/>
        <v>0</v>
      </c>
      <c r="I6" s="108">
        <f>(E6+G6+(4*F6))/6</f>
        <v>0</v>
      </c>
      <c r="J6" s="141" t="str">
        <f t="shared" ref="J6:J29" si="3">IF(H6+I6=0,"",H6+I6)</f>
        <v/>
      </c>
      <c r="K6" s="108">
        <f>I6+(2*H6)</f>
        <v>0</v>
      </c>
      <c r="L6" s="108"/>
      <c r="M6" s="110"/>
    </row>
    <row r="7" spans="1:15">
      <c r="A7" s="111" t="s">
        <v>37</v>
      </c>
      <c r="B7" s="111"/>
      <c r="C7" s="112"/>
      <c r="D7" s="106" t="s">
        <v>35</v>
      </c>
      <c r="E7" s="107"/>
      <c r="F7" s="107"/>
      <c r="G7" s="107"/>
      <c r="H7" s="108">
        <f>(G7-E7)/6</f>
        <v>0</v>
      </c>
      <c r="I7" s="108">
        <f>(E7+G7+(4*F7))/6</f>
        <v>0</v>
      </c>
      <c r="J7" s="141" t="str">
        <f t="shared" si="3"/>
        <v/>
      </c>
      <c r="K7" s="108">
        <f>I7+(2*H7)</f>
        <v>0</v>
      </c>
      <c r="L7" s="108"/>
      <c r="M7" s="110"/>
    </row>
    <row r="8" spans="1:15">
      <c r="A8" s="105"/>
      <c r="B8" s="105"/>
      <c r="C8" s="105"/>
      <c r="D8" s="106" t="s">
        <v>35</v>
      </c>
      <c r="E8" s="107"/>
      <c r="F8" s="107"/>
      <c r="G8" s="107"/>
      <c r="H8" s="108">
        <f t="shared" si="0"/>
        <v>0</v>
      </c>
      <c r="I8" s="108">
        <f t="shared" ref="I8" si="4">(E8+G8+(4*F8))/6</f>
        <v>0</v>
      </c>
      <c r="J8" s="141" t="str">
        <f t="shared" si="3"/>
        <v/>
      </c>
      <c r="K8" s="108">
        <f t="shared" si="2"/>
        <v>0</v>
      </c>
      <c r="L8" s="108"/>
      <c r="M8" s="110"/>
    </row>
    <row r="9" spans="1:15">
      <c r="A9" s="104" t="s">
        <v>38</v>
      </c>
      <c r="B9" s="105"/>
      <c r="C9" s="105"/>
      <c r="D9" s="106" t="s">
        <v>35</v>
      </c>
      <c r="E9" s="107"/>
      <c r="F9" s="107"/>
      <c r="G9" s="107"/>
      <c r="H9" s="108">
        <f t="shared" si="0"/>
        <v>0</v>
      </c>
      <c r="I9" s="108">
        <f t="shared" si="1"/>
        <v>0</v>
      </c>
      <c r="J9" s="141" t="str">
        <f t="shared" si="3"/>
        <v/>
      </c>
      <c r="K9" s="108">
        <f t="shared" si="2"/>
        <v>0</v>
      </c>
      <c r="L9" s="108"/>
      <c r="M9" s="110"/>
    </row>
    <row r="10" spans="1:15">
      <c r="A10" s="104" t="s">
        <v>39</v>
      </c>
      <c r="B10" s="104"/>
      <c r="C10" s="104"/>
      <c r="D10" s="106" t="s">
        <v>35</v>
      </c>
      <c r="E10" s="107"/>
      <c r="F10" s="107"/>
      <c r="G10" s="107"/>
      <c r="H10" s="108">
        <f t="shared" si="0"/>
        <v>0</v>
      </c>
      <c r="I10" s="108">
        <f t="shared" si="1"/>
        <v>0</v>
      </c>
      <c r="J10" s="141" t="str">
        <f t="shared" si="3"/>
        <v/>
      </c>
      <c r="K10" s="108">
        <f t="shared" si="2"/>
        <v>0</v>
      </c>
      <c r="L10" s="108"/>
      <c r="M10" s="110"/>
    </row>
    <row r="11" spans="1:15">
      <c r="A11" s="111"/>
      <c r="B11" s="104"/>
      <c r="C11" s="104"/>
      <c r="D11" s="106" t="s">
        <v>35</v>
      </c>
      <c r="E11" s="107"/>
      <c r="F11" s="107"/>
      <c r="G11" s="107"/>
      <c r="H11" s="108">
        <f t="shared" si="0"/>
        <v>0</v>
      </c>
      <c r="I11" s="108">
        <f t="shared" si="1"/>
        <v>0</v>
      </c>
      <c r="J11" s="141" t="str">
        <f t="shared" si="3"/>
        <v/>
      </c>
      <c r="K11" s="108">
        <f t="shared" si="2"/>
        <v>0</v>
      </c>
      <c r="L11" s="108"/>
      <c r="M11" s="109"/>
    </row>
    <row r="12" spans="1:15">
      <c r="A12" s="111"/>
      <c r="B12" s="104"/>
      <c r="C12" s="104"/>
      <c r="D12" s="106" t="s">
        <v>35</v>
      </c>
      <c r="E12" s="107"/>
      <c r="F12" s="107"/>
      <c r="G12" s="107"/>
      <c r="H12" s="108">
        <f t="shared" si="0"/>
        <v>0</v>
      </c>
      <c r="I12" s="108">
        <f t="shared" si="1"/>
        <v>0</v>
      </c>
      <c r="J12" s="141" t="str">
        <f t="shared" si="3"/>
        <v/>
      </c>
      <c r="K12" s="108">
        <f t="shared" si="2"/>
        <v>0</v>
      </c>
      <c r="L12" s="108"/>
      <c r="M12" s="110"/>
    </row>
    <row r="13" spans="1:15">
      <c r="A13" s="104" t="s">
        <v>40</v>
      </c>
      <c r="B13" s="104"/>
      <c r="C13" s="104"/>
      <c r="D13" s="106" t="s">
        <v>35</v>
      </c>
      <c r="E13" s="107"/>
      <c r="F13" s="107"/>
      <c r="G13" s="107"/>
      <c r="H13" s="108">
        <f t="shared" si="0"/>
        <v>0</v>
      </c>
      <c r="I13" s="108">
        <f t="shared" si="1"/>
        <v>0</v>
      </c>
      <c r="J13" s="141" t="str">
        <f t="shared" si="3"/>
        <v/>
      </c>
      <c r="K13" s="108">
        <f t="shared" si="2"/>
        <v>0</v>
      </c>
      <c r="L13" s="108"/>
      <c r="M13" s="110"/>
    </row>
    <row r="14" spans="1:15">
      <c r="A14" s="104" t="s">
        <v>39</v>
      </c>
      <c r="B14" s="104"/>
      <c r="C14" s="104"/>
      <c r="D14" s="106" t="s">
        <v>35</v>
      </c>
      <c r="E14" s="107"/>
      <c r="F14" s="107"/>
      <c r="G14" s="107"/>
      <c r="H14" s="108">
        <f t="shared" si="0"/>
        <v>0</v>
      </c>
      <c r="I14" s="108">
        <f t="shared" si="1"/>
        <v>0</v>
      </c>
      <c r="J14" s="141" t="str">
        <f t="shared" si="3"/>
        <v/>
      </c>
      <c r="K14" s="108">
        <f t="shared" si="2"/>
        <v>0</v>
      </c>
      <c r="L14" s="108"/>
      <c r="M14" s="110"/>
    </row>
    <row r="15" spans="1:15">
      <c r="A15" s="111"/>
      <c r="B15" s="104"/>
      <c r="C15" s="104"/>
      <c r="D15" s="106" t="s">
        <v>35</v>
      </c>
      <c r="E15" s="107"/>
      <c r="F15" s="107"/>
      <c r="G15" s="107"/>
      <c r="H15" s="108">
        <f t="shared" si="0"/>
        <v>0</v>
      </c>
      <c r="I15" s="108">
        <f t="shared" si="1"/>
        <v>0</v>
      </c>
      <c r="J15" s="141" t="str">
        <f t="shared" si="3"/>
        <v/>
      </c>
      <c r="K15" s="108">
        <f t="shared" si="2"/>
        <v>0</v>
      </c>
      <c r="L15" s="108"/>
      <c r="M15" s="110"/>
    </row>
    <row r="16" spans="1:15">
      <c r="A16" s="111"/>
      <c r="B16" s="104"/>
      <c r="C16" s="104"/>
      <c r="D16" s="106" t="s">
        <v>35</v>
      </c>
      <c r="E16" s="107"/>
      <c r="F16" s="107"/>
      <c r="G16" s="107"/>
      <c r="H16" s="108">
        <f t="shared" si="0"/>
        <v>0</v>
      </c>
      <c r="I16" s="108">
        <f t="shared" si="1"/>
        <v>0</v>
      </c>
      <c r="J16" s="141" t="str">
        <f t="shared" si="3"/>
        <v/>
      </c>
      <c r="K16" s="108">
        <f t="shared" si="2"/>
        <v>0</v>
      </c>
      <c r="L16" s="108"/>
      <c r="M16" s="110"/>
    </row>
    <row r="17" spans="1:13">
      <c r="A17" s="111"/>
      <c r="B17" s="104"/>
      <c r="C17" s="104"/>
      <c r="D17" s="106" t="s">
        <v>35</v>
      </c>
      <c r="E17" s="107"/>
      <c r="F17" s="107"/>
      <c r="G17" s="107"/>
      <c r="H17" s="108">
        <f t="shared" si="0"/>
        <v>0</v>
      </c>
      <c r="I17" s="108">
        <f t="shared" si="1"/>
        <v>0</v>
      </c>
      <c r="J17" s="141" t="str">
        <f t="shared" si="3"/>
        <v/>
      </c>
      <c r="K17" s="108">
        <f t="shared" si="2"/>
        <v>0</v>
      </c>
      <c r="L17" s="108"/>
      <c r="M17" s="110"/>
    </row>
    <row r="18" spans="1:13">
      <c r="A18" s="104" t="s">
        <v>41</v>
      </c>
      <c r="B18" s="104"/>
      <c r="C18" s="104"/>
      <c r="D18" s="106" t="s">
        <v>35</v>
      </c>
      <c r="E18" s="107"/>
      <c r="F18" s="107"/>
      <c r="G18" s="107"/>
      <c r="H18" s="108">
        <f t="shared" ref="H18:H22" si="5">(G18-E18)/6</f>
        <v>0</v>
      </c>
      <c r="I18" s="108">
        <f t="shared" ref="I18:I22" si="6">(E18+G18+(4*F18))/6</f>
        <v>0</v>
      </c>
      <c r="J18" s="141" t="str">
        <f t="shared" si="3"/>
        <v/>
      </c>
      <c r="K18" s="108">
        <f t="shared" ref="K18:K22" si="7">I18+(2*H18)</f>
        <v>0</v>
      </c>
      <c r="L18" s="108"/>
      <c r="M18" s="110"/>
    </row>
    <row r="19" spans="1:13">
      <c r="A19" s="104" t="s">
        <v>39</v>
      </c>
      <c r="B19" s="104"/>
      <c r="C19" s="104"/>
      <c r="D19" s="106" t="s">
        <v>35</v>
      </c>
      <c r="E19" s="107"/>
      <c r="F19" s="107"/>
      <c r="G19" s="107"/>
      <c r="H19" s="108">
        <f t="shared" si="5"/>
        <v>0</v>
      </c>
      <c r="I19" s="108">
        <f t="shared" si="6"/>
        <v>0</v>
      </c>
      <c r="J19" s="141" t="str">
        <f t="shared" si="3"/>
        <v/>
      </c>
      <c r="K19" s="108">
        <f t="shared" si="7"/>
        <v>0</v>
      </c>
      <c r="L19" s="108"/>
      <c r="M19" s="110"/>
    </row>
    <row r="20" spans="1:13">
      <c r="A20" s="104"/>
      <c r="B20" s="104"/>
      <c r="C20" s="104"/>
      <c r="D20" s="106" t="s">
        <v>35</v>
      </c>
      <c r="E20" s="107"/>
      <c r="F20" s="107"/>
      <c r="G20" s="107"/>
      <c r="H20" s="108">
        <f t="shared" si="5"/>
        <v>0</v>
      </c>
      <c r="I20" s="108">
        <f t="shared" si="6"/>
        <v>0</v>
      </c>
      <c r="J20" s="141" t="str">
        <f t="shared" si="3"/>
        <v/>
      </c>
      <c r="K20" s="108">
        <f t="shared" si="7"/>
        <v>0</v>
      </c>
      <c r="L20" s="108"/>
      <c r="M20" s="109"/>
    </row>
    <row r="21" spans="1:13">
      <c r="A21" s="104"/>
      <c r="B21" s="104"/>
      <c r="C21" s="104"/>
      <c r="D21" s="106" t="s">
        <v>35</v>
      </c>
      <c r="E21" s="107"/>
      <c r="F21" s="107"/>
      <c r="G21" s="107"/>
      <c r="H21" s="108">
        <f t="shared" ref="H21" si="8">(G21-E21)/6</f>
        <v>0</v>
      </c>
      <c r="I21" s="108">
        <f t="shared" ref="I21" si="9">(E21+G21+(4*F21))/6</f>
        <v>0</v>
      </c>
      <c r="J21" s="141" t="str">
        <f t="shared" si="3"/>
        <v/>
      </c>
      <c r="K21" s="108">
        <f t="shared" ref="K21" si="10">I21+(2*H21)</f>
        <v>0</v>
      </c>
      <c r="L21" s="108"/>
      <c r="M21" s="109"/>
    </row>
    <row r="22" spans="1:13">
      <c r="A22" s="104"/>
      <c r="B22" s="104"/>
      <c r="C22" s="104"/>
      <c r="D22" s="106" t="s">
        <v>35</v>
      </c>
      <c r="E22" s="107"/>
      <c r="F22" s="107"/>
      <c r="G22" s="107"/>
      <c r="H22" s="108">
        <f t="shared" si="5"/>
        <v>0</v>
      </c>
      <c r="I22" s="108">
        <f t="shared" si="6"/>
        <v>0</v>
      </c>
      <c r="J22" s="141" t="str">
        <f t="shared" si="3"/>
        <v/>
      </c>
      <c r="K22" s="108">
        <f t="shared" si="7"/>
        <v>0</v>
      </c>
      <c r="L22" s="108"/>
      <c r="M22" s="109"/>
    </row>
    <row r="23" spans="1:13">
      <c r="A23" s="104" t="s">
        <v>41</v>
      </c>
      <c r="B23" s="104"/>
      <c r="C23" s="104"/>
      <c r="D23" s="106" t="s">
        <v>35</v>
      </c>
      <c r="E23" s="107"/>
      <c r="F23" s="107"/>
      <c r="G23" s="107"/>
      <c r="H23" s="108">
        <f t="shared" si="0"/>
        <v>0</v>
      </c>
      <c r="I23" s="108">
        <f t="shared" si="1"/>
        <v>0</v>
      </c>
      <c r="J23" s="141" t="str">
        <f t="shared" si="3"/>
        <v/>
      </c>
      <c r="K23" s="108">
        <f t="shared" si="2"/>
        <v>0</v>
      </c>
      <c r="L23" s="108"/>
      <c r="M23" s="109"/>
    </row>
    <row r="24" spans="1:13">
      <c r="A24" s="104" t="s">
        <v>39</v>
      </c>
      <c r="B24" s="104"/>
      <c r="C24" s="104"/>
      <c r="D24" s="106" t="s">
        <v>35</v>
      </c>
      <c r="E24" s="107"/>
      <c r="F24" s="107"/>
      <c r="G24" s="107"/>
      <c r="H24" s="108">
        <f t="shared" si="0"/>
        <v>0</v>
      </c>
      <c r="I24" s="108">
        <f t="shared" si="1"/>
        <v>0</v>
      </c>
      <c r="J24" s="141" t="str">
        <f t="shared" si="3"/>
        <v/>
      </c>
      <c r="K24" s="108">
        <f t="shared" si="2"/>
        <v>0</v>
      </c>
      <c r="L24" s="108"/>
      <c r="M24" s="109"/>
    </row>
    <row r="25" spans="1:13">
      <c r="A25" s="104"/>
      <c r="B25" s="104"/>
      <c r="C25" s="104"/>
      <c r="D25" s="106" t="s">
        <v>35</v>
      </c>
      <c r="E25" s="107"/>
      <c r="F25" s="107"/>
      <c r="G25" s="107"/>
      <c r="H25" s="108">
        <f t="shared" ref="H25" si="11">(G25-E25)/6</f>
        <v>0</v>
      </c>
      <c r="I25" s="108">
        <f t="shared" ref="I25" si="12">(E25+G25+(4*F25))/6</f>
        <v>0</v>
      </c>
      <c r="J25" s="141" t="str">
        <f t="shared" si="3"/>
        <v/>
      </c>
      <c r="K25" s="108">
        <f t="shared" ref="K25" si="13">I25+(2*H25)</f>
        <v>0</v>
      </c>
      <c r="L25" s="108"/>
      <c r="M25" s="109"/>
    </row>
    <row r="26" spans="1:13">
      <c r="A26" s="104" t="s">
        <v>41</v>
      </c>
      <c r="B26" s="104"/>
      <c r="C26" s="104"/>
      <c r="D26" s="106" t="s">
        <v>35</v>
      </c>
      <c r="E26" s="107"/>
      <c r="F26" s="107"/>
      <c r="G26" s="107"/>
      <c r="H26" s="108">
        <f t="shared" ref="H26:H27" si="14">(G26-E26)/6</f>
        <v>0</v>
      </c>
      <c r="I26" s="108">
        <f t="shared" ref="I26:I27" si="15">(E26+G26+(4*F26))/6</f>
        <v>0</v>
      </c>
      <c r="J26" s="141" t="str">
        <f t="shared" si="3"/>
        <v/>
      </c>
      <c r="K26" s="108">
        <f t="shared" ref="K26:K27" si="16">I26+(2*H26)</f>
        <v>0</v>
      </c>
      <c r="L26" s="108"/>
      <c r="M26" s="109"/>
    </row>
    <row r="27" spans="1:13">
      <c r="A27" s="104" t="s">
        <v>39</v>
      </c>
      <c r="B27" s="104"/>
      <c r="C27" s="104"/>
      <c r="D27" s="106" t="s">
        <v>35</v>
      </c>
      <c r="E27" s="107"/>
      <c r="F27" s="107"/>
      <c r="G27" s="107"/>
      <c r="H27" s="108">
        <f t="shared" si="14"/>
        <v>0</v>
      </c>
      <c r="I27" s="108">
        <f t="shared" si="15"/>
        <v>0</v>
      </c>
      <c r="J27" s="141" t="str">
        <f t="shared" si="3"/>
        <v/>
      </c>
      <c r="K27" s="108">
        <f t="shared" si="16"/>
        <v>0</v>
      </c>
      <c r="L27" s="108"/>
      <c r="M27" s="109"/>
    </row>
    <row r="28" spans="1:13">
      <c r="A28" s="111"/>
      <c r="B28" s="104"/>
      <c r="C28" s="104"/>
      <c r="D28" s="106" t="s">
        <v>35</v>
      </c>
      <c r="E28" s="107"/>
      <c r="F28" s="107"/>
      <c r="G28" s="107"/>
      <c r="H28" s="108">
        <f t="shared" si="0"/>
        <v>0</v>
      </c>
      <c r="I28" s="108">
        <f t="shared" si="1"/>
        <v>0</v>
      </c>
      <c r="J28" s="141" t="str">
        <f t="shared" si="3"/>
        <v/>
      </c>
      <c r="K28" s="108">
        <f t="shared" si="2"/>
        <v>0</v>
      </c>
      <c r="L28" s="108"/>
      <c r="M28" s="109"/>
    </row>
    <row r="29" spans="1:13" ht="15" thickBot="1">
      <c r="A29" s="113"/>
      <c r="B29" s="113"/>
      <c r="C29" s="114"/>
      <c r="D29" s="106" t="s">
        <v>35</v>
      </c>
      <c r="E29" s="115"/>
      <c r="F29" s="115"/>
      <c r="G29" s="195"/>
      <c r="H29" s="132">
        <f t="shared" si="0"/>
        <v>0</v>
      </c>
      <c r="I29" s="132">
        <f t="shared" si="1"/>
        <v>0</v>
      </c>
      <c r="J29" s="194" t="str">
        <f t="shared" si="3"/>
        <v/>
      </c>
      <c r="K29" s="132">
        <f t="shared" si="2"/>
        <v>0</v>
      </c>
      <c r="L29" s="132"/>
      <c r="M29" s="133"/>
    </row>
    <row r="30" spans="1:13" ht="15" thickBot="1">
      <c r="A30" s="116" t="s">
        <v>42</v>
      </c>
      <c r="B30" s="117"/>
      <c r="C30" s="154"/>
      <c r="D30" s="155"/>
      <c r="E30" s="156">
        <f>SUM(E5:E29)</f>
        <v>10</v>
      </c>
      <c r="F30" s="156">
        <f>SUM(F5:F29)</f>
        <v>40</v>
      </c>
      <c r="G30" s="196">
        <f>SUM(G5:G29)</f>
        <v>100</v>
      </c>
      <c r="H30" s="197"/>
      <c r="I30" s="197"/>
      <c r="J30" s="196"/>
      <c r="K30" s="198"/>
      <c r="L30" s="199"/>
      <c r="M30" s="200"/>
    </row>
    <row r="31" spans="1:13">
      <c r="A31" s="118"/>
      <c r="B31" s="118"/>
      <c r="C31" s="119"/>
      <c r="D31" s="120"/>
      <c r="E31" s="121"/>
      <c r="F31" s="121"/>
      <c r="G31" s="121"/>
      <c r="H31" s="122"/>
      <c r="I31" s="122"/>
      <c r="J31" s="137"/>
      <c r="K31" s="122"/>
      <c r="L31" s="122"/>
      <c r="M31" s="138"/>
    </row>
    <row r="32" spans="1:13">
      <c r="A32" s="123" t="s">
        <v>43</v>
      </c>
      <c r="B32" s="123"/>
      <c r="C32" s="124"/>
      <c r="D32" s="106" t="s">
        <v>35</v>
      </c>
      <c r="E32" s="107"/>
      <c r="F32" s="107"/>
      <c r="G32" s="107"/>
      <c r="H32" s="108">
        <f t="shared" ref="H32:H40" si="17">(G32-E32)/6</f>
        <v>0</v>
      </c>
      <c r="I32" s="108">
        <f t="shared" ref="I32:I40" si="18">(E32+G32+(4*F32))/6</f>
        <v>0</v>
      </c>
      <c r="J32" s="141" t="str">
        <f t="shared" ref="J32:J43" si="19">IF(H32+I32=0,"",H32+I32)</f>
        <v/>
      </c>
      <c r="K32" s="108">
        <f t="shared" ref="K32:K40" si="20">I32+(2*H32)</f>
        <v>0</v>
      </c>
      <c r="L32" s="108"/>
      <c r="M32" s="109"/>
    </row>
    <row r="33" spans="1:13">
      <c r="A33" s="104"/>
      <c r="B33" s="104"/>
      <c r="C33" s="112"/>
      <c r="D33" s="125" t="str">
        <f>IF(C33=0,"","IT")</f>
        <v/>
      </c>
      <c r="E33" s="107"/>
      <c r="F33" s="107"/>
      <c r="G33" s="107"/>
      <c r="H33" s="108">
        <f t="shared" si="17"/>
        <v>0</v>
      </c>
      <c r="I33" s="108">
        <f t="shared" si="18"/>
        <v>0</v>
      </c>
      <c r="J33" s="141" t="str">
        <f t="shared" si="19"/>
        <v/>
      </c>
      <c r="K33" s="108">
        <f t="shared" si="20"/>
        <v>0</v>
      </c>
      <c r="L33" s="108"/>
      <c r="M33" s="109"/>
    </row>
    <row r="34" spans="1:13">
      <c r="A34" s="123" t="s">
        <v>44</v>
      </c>
      <c r="B34" s="123"/>
      <c r="C34" s="124"/>
      <c r="D34" s="106" t="s">
        <v>35</v>
      </c>
      <c r="E34" s="107"/>
      <c r="F34" s="107"/>
      <c r="G34" s="107"/>
      <c r="H34" s="108">
        <f t="shared" si="17"/>
        <v>0</v>
      </c>
      <c r="I34" s="108">
        <f t="shared" si="18"/>
        <v>0</v>
      </c>
      <c r="J34" s="141" t="str">
        <f t="shared" si="19"/>
        <v/>
      </c>
      <c r="K34" s="108">
        <f t="shared" si="20"/>
        <v>0</v>
      </c>
      <c r="L34" s="108"/>
      <c r="M34" s="109"/>
    </row>
    <row r="35" spans="1:13">
      <c r="A35" s="104"/>
      <c r="B35" s="104"/>
      <c r="C35" s="112"/>
      <c r="D35" s="125"/>
      <c r="E35" s="107"/>
      <c r="F35" s="107"/>
      <c r="G35" s="107"/>
      <c r="H35" s="108">
        <f t="shared" si="17"/>
        <v>0</v>
      </c>
      <c r="I35" s="108">
        <f t="shared" si="18"/>
        <v>0</v>
      </c>
      <c r="J35" s="141" t="str">
        <f t="shared" si="19"/>
        <v/>
      </c>
      <c r="K35" s="108">
        <f t="shared" si="20"/>
        <v>0</v>
      </c>
      <c r="L35" s="108"/>
      <c r="M35" s="109"/>
    </row>
    <row r="36" spans="1:13">
      <c r="A36" s="123" t="s">
        <v>45</v>
      </c>
      <c r="B36" s="123"/>
      <c r="C36" s="124"/>
      <c r="D36" s="106" t="s">
        <v>35</v>
      </c>
      <c r="E36" s="107"/>
      <c r="F36" s="107"/>
      <c r="G36" s="107"/>
      <c r="H36" s="108">
        <f t="shared" si="17"/>
        <v>0</v>
      </c>
      <c r="I36" s="108">
        <f t="shared" si="18"/>
        <v>0</v>
      </c>
      <c r="J36" s="141" t="str">
        <f t="shared" si="19"/>
        <v/>
      </c>
      <c r="K36" s="108">
        <f t="shared" si="20"/>
        <v>0</v>
      </c>
      <c r="L36" s="108"/>
      <c r="M36" s="109"/>
    </row>
    <row r="37" spans="1:13" ht="17.100000000000001" customHeight="1">
      <c r="A37" s="104"/>
      <c r="B37" s="104"/>
      <c r="C37" s="126"/>
      <c r="D37" s="125"/>
      <c r="E37" s="107"/>
      <c r="F37" s="107"/>
      <c r="G37" s="107"/>
      <c r="H37" s="108">
        <f t="shared" si="17"/>
        <v>0</v>
      </c>
      <c r="I37" s="108">
        <f t="shared" si="18"/>
        <v>0</v>
      </c>
      <c r="J37" s="141" t="str">
        <f t="shared" si="19"/>
        <v/>
      </c>
      <c r="K37" s="108">
        <f t="shared" si="20"/>
        <v>0</v>
      </c>
      <c r="L37" s="108"/>
      <c r="M37" s="109"/>
    </row>
    <row r="38" spans="1:13">
      <c r="A38" s="123" t="s">
        <v>46</v>
      </c>
      <c r="B38" s="123"/>
      <c r="C38" s="124"/>
      <c r="D38" s="106" t="s">
        <v>35</v>
      </c>
      <c r="E38" s="107">
        <v>0</v>
      </c>
      <c r="F38" s="107">
        <v>0</v>
      </c>
      <c r="G38" s="107">
        <v>0</v>
      </c>
      <c r="H38" s="108">
        <f t="shared" si="17"/>
        <v>0</v>
      </c>
      <c r="I38" s="108">
        <f t="shared" si="18"/>
        <v>0</v>
      </c>
      <c r="J38" s="141" t="str">
        <f t="shared" si="19"/>
        <v/>
      </c>
      <c r="K38" s="108">
        <f t="shared" si="20"/>
        <v>0</v>
      </c>
      <c r="L38" s="108"/>
      <c r="M38" s="109"/>
    </row>
    <row r="39" spans="1:13">
      <c r="A39" s="104"/>
      <c r="B39" s="104"/>
      <c r="C39" s="112"/>
      <c r="D39" s="125"/>
      <c r="E39" s="107"/>
      <c r="F39" s="107"/>
      <c r="G39" s="107"/>
      <c r="H39" s="108">
        <f>(G39-E39)/6</f>
        <v>0</v>
      </c>
      <c r="I39" s="108">
        <f>(E39+G39+(4*F39))/6</f>
        <v>0</v>
      </c>
      <c r="J39" s="141" t="str">
        <f t="shared" si="19"/>
        <v/>
      </c>
      <c r="K39" s="108">
        <f t="shared" si="20"/>
        <v>0</v>
      </c>
      <c r="L39" s="108"/>
      <c r="M39" s="109"/>
    </row>
    <row r="40" spans="1:13" ht="17.100000000000001" customHeight="1">
      <c r="A40" s="123" t="s">
        <v>47</v>
      </c>
      <c r="B40" s="123"/>
      <c r="C40" s="124"/>
      <c r="D40" s="106" t="s">
        <v>35</v>
      </c>
      <c r="E40" s="107"/>
      <c r="F40" s="107"/>
      <c r="G40" s="107"/>
      <c r="H40" s="108">
        <f t="shared" si="17"/>
        <v>0</v>
      </c>
      <c r="I40" s="108">
        <f t="shared" si="18"/>
        <v>0</v>
      </c>
      <c r="J40" s="141" t="str">
        <f t="shared" si="19"/>
        <v/>
      </c>
      <c r="K40" s="108">
        <f t="shared" si="20"/>
        <v>0</v>
      </c>
      <c r="L40" s="108"/>
      <c r="M40" s="109"/>
    </row>
    <row r="41" spans="1:13" ht="17.100000000000001" customHeight="1">
      <c r="A41" s="104"/>
      <c r="B41" s="104"/>
      <c r="C41" s="126"/>
      <c r="D41" s="125"/>
      <c r="E41" s="107"/>
      <c r="F41" s="107"/>
      <c r="G41" s="107"/>
      <c r="H41" s="108">
        <f t="shared" ref="H41:H43" si="21">(G41-E41)/6</f>
        <v>0</v>
      </c>
      <c r="I41" s="108">
        <f t="shared" ref="I41:I43" si="22">(E41+G41+(4*F41))/6</f>
        <v>0</v>
      </c>
      <c r="J41" s="141" t="str">
        <f t="shared" si="19"/>
        <v/>
      </c>
      <c r="K41" s="108">
        <f t="shared" ref="K41:K43" si="23">I41+(2*H41)</f>
        <v>0</v>
      </c>
      <c r="L41" s="108"/>
      <c r="M41" s="109"/>
    </row>
    <row r="42" spans="1:13" ht="17.100000000000001" customHeight="1">
      <c r="A42" s="123" t="s">
        <v>48</v>
      </c>
      <c r="B42" s="123"/>
      <c r="C42" s="124"/>
      <c r="D42" s="106" t="s">
        <v>35</v>
      </c>
      <c r="E42" s="107"/>
      <c r="F42" s="107"/>
      <c r="G42" s="107"/>
      <c r="H42" s="127">
        <f t="shared" si="21"/>
        <v>0</v>
      </c>
      <c r="I42" s="108">
        <f t="shared" si="22"/>
        <v>0</v>
      </c>
      <c r="J42" s="141" t="str">
        <f t="shared" si="19"/>
        <v/>
      </c>
      <c r="K42" s="108">
        <f t="shared" si="23"/>
        <v>0</v>
      </c>
      <c r="L42" s="108"/>
      <c r="M42" s="109"/>
    </row>
    <row r="43" spans="1:13" ht="15" thickBot="1">
      <c r="A43" s="128"/>
      <c r="B43" s="128"/>
      <c r="C43" s="128"/>
      <c r="D43" s="129"/>
      <c r="E43" s="130"/>
      <c r="F43" s="130"/>
      <c r="G43" s="130"/>
      <c r="H43" s="131">
        <f t="shared" si="21"/>
        <v>0</v>
      </c>
      <c r="I43" s="132">
        <f t="shared" si="22"/>
        <v>0</v>
      </c>
      <c r="J43" s="194" t="str">
        <f t="shared" si="19"/>
        <v/>
      </c>
      <c r="K43" s="132">
        <f t="shared" si="23"/>
        <v>0</v>
      </c>
      <c r="L43" s="132"/>
      <c r="M43" s="133"/>
    </row>
    <row r="44" spans="1:13">
      <c r="A44" s="134" t="s">
        <v>49</v>
      </c>
      <c r="B44" s="134"/>
      <c r="C44" s="135" t="s">
        <v>50</v>
      </c>
      <c r="D44" s="136">
        <v>0.08</v>
      </c>
      <c r="E44" s="137">
        <f>E30*$D$44</f>
        <v>0.8</v>
      </c>
      <c r="F44" s="137">
        <f t="shared" ref="F44:G44" si="24">F30*$D$44</f>
        <v>3.2</v>
      </c>
      <c r="G44" s="137">
        <f t="shared" si="24"/>
        <v>8</v>
      </c>
      <c r="H44" s="122">
        <f t="shared" ref="H44" si="25">(G44-E44)/6</f>
        <v>1.2</v>
      </c>
      <c r="I44" s="122">
        <f t="shared" ref="I44" si="26">(E44+G44+(4*F44))/6</f>
        <v>3.6</v>
      </c>
      <c r="J44" s="137">
        <f t="shared" ref="J44" si="27">H44+I44</f>
        <v>4.8</v>
      </c>
      <c r="K44" s="122">
        <f t="shared" ref="K44" si="28">I44+(2*H44)</f>
        <v>6</v>
      </c>
      <c r="L44" s="122"/>
      <c r="M44" s="138"/>
    </row>
    <row r="45" spans="1:13">
      <c r="A45" s="123" t="s">
        <v>51</v>
      </c>
      <c r="B45" s="123"/>
      <c r="C45" s="139" t="s">
        <v>50</v>
      </c>
      <c r="D45" s="140">
        <f>IF((SUM(E30:G30)/3)&lt;=1000,5%,8%)</f>
        <v>0.05</v>
      </c>
      <c r="E45" s="141">
        <f>E30*$D$45</f>
        <v>0.5</v>
      </c>
      <c r="F45" s="141">
        <f>F30*$D$45</f>
        <v>2</v>
      </c>
      <c r="G45" s="141">
        <f>G30*$D$45</f>
        <v>5</v>
      </c>
      <c r="H45" s="108">
        <f>(G45-E45)/6</f>
        <v>0.75</v>
      </c>
      <c r="I45" s="108">
        <f>(E45+G45+(4*F45))/6</f>
        <v>2.25</v>
      </c>
      <c r="J45" s="141">
        <f t="shared" ref="J45" si="29">H45+I45</f>
        <v>3</v>
      </c>
      <c r="K45" s="108">
        <f t="shared" ref="K45" si="30">I45+(2*H45)</f>
        <v>3.75</v>
      </c>
      <c r="L45" s="108"/>
      <c r="M45" s="109"/>
    </row>
    <row r="46" spans="1:13" ht="15" thickBot="1">
      <c r="A46" s="201" t="s">
        <v>52</v>
      </c>
      <c r="B46" s="201"/>
      <c r="C46" s="202"/>
      <c r="D46" s="203"/>
      <c r="E46" s="204">
        <f>SUM(E30:E45)</f>
        <v>11.3</v>
      </c>
      <c r="F46" s="204">
        <f t="shared" ref="F46:G46" si="31">SUM(F30:F45)</f>
        <v>45.2</v>
      </c>
      <c r="G46" s="204">
        <f t="shared" si="31"/>
        <v>113</v>
      </c>
      <c r="H46" s="205">
        <f ca="1">SUM(INDIRECT("G3:G"&amp;ROW()-1))</f>
        <v>213</v>
      </c>
      <c r="I46" s="205">
        <f ca="1">SUM(INDIRECT("H3:H"&amp;ROW()-1))</f>
        <v>16.95</v>
      </c>
      <c r="J46" s="204">
        <f ca="1">SUM(INDIRECT("J3:J"&amp;ROW()-1))</f>
        <v>67.8</v>
      </c>
      <c r="K46" s="206">
        <f ca="1">SUM(INDIRECT("J3:J"&amp;ROW()-1))</f>
        <v>67.8</v>
      </c>
      <c r="L46" s="206">
        <f ca="1">SUM(INDIRECT("K3:K"&amp;ROW()-1))</f>
        <v>84.75</v>
      </c>
      <c r="M46" s="133"/>
    </row>
    <row r="48" spans="1:13" ht="31.5" hidden="1">
      <c r="A48" s="142" t="s">
        <v>53</v>
      </c>
      <c r="B48" s="142"/>
      <c r="C48" s="143">
        <f>MATCH("Work Estimate Totals",A4:A9951,0)+ROW(A4:A9951)-2</f>
        <v>45</v>
      </c>
    </row>
    <row r="50" spans="1:20">
      <c r="A50" s="146" t="s">
        <v>54</v>
      </c>
      <c r="B50" s="147"/>
    </row>
    <row r="51" spans="1:20">
      <c r="A51" s="148" t="s">
        <v>55</v>
      </c>
      <c r="B51" s="149">
        <f>F46</f>
        <v>45.2</v>
      </c>
    </row>
    <row r="52" spans="1:20">
      <c r="A52" s="148" t="s">
        <v>56</v>
      </c>
      <c r="B52" s="150">
        <f ca="1">J46-F46</f>
        <v>22.599999999999994</v>
      </c>
    </row>
    <row r="54" spans="1:20" s="96" customFormat="1">
      <c r="D54" s="151"/>
      <c r="M54" s="152"/>
      <c r="S54" s="153"/>
      <c r="T54" s="153"/>
    </row>
  </sheetData>
  <mergeCells count="1">
    <mergeCell ref="A3:C3"/>
  </mergeCells>
  <dataValidations count="1">
    <dataValidation type="list" allowBlank="1" showInputMessage="1" showErrorMessage="1" sqref="D46:D1048576 D4" xr:uid="{00000000-0002-0000-0200-000000000000}">
      <formula1>"IT, LoB, Split IT &amp; LoB"</formula1>
    </dataValidation>
  </dataValidations>
  <pageMargins left="0.7" right="0.7" top="0.75" bottom="0.75" header="0.3" footer="0.3"/>
  <pageSetup paperSize="9" orientation="portrait" r:id="rId1"/>
  <customProperties>
    <customPr name="_pios_id" r:id="rId2"/>
  </customProperties>
  <drawing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D23"/>
  <sheetViews>
    <sheetView showGridLines="0" topLeftCell="A4" workbookViewId="0">
      <selection activeCell="I23" sqref="I23"/>
    </sheetView>
  </sheetViews>
  <sheetFormatPr defaultColWidth="8.5703125" defaultRowHeight="14.45"/>
  <cols>
    <col min="1" max="1" width="33.42578125" style="2" customWidth="1"/>
    <col min="2" max="3" width="14.5703125" style="1" customWidth="1"/>
    <col min="4" max="4" width="43.42578125" style="2" customWidth="1"/>
  </cols>
  <sheetData>
    <row r="1" spans="1:4" s="73" customFormat="1">
      <c r="A1" s="73" t="s">
        <v>0</v>
      </c>
    </row>
    <row r="3" spans="1:4">
      <c r="A3" s="43" t="s">
        <v>57</v>
      </c>
    </row>
    <row r="4" spans="1:4" ht="15.6" customHeight="1" thickBot="1"/>
    <row r="5" spans="1:4" ht="29.1">
      <c r="A5" s="237" t="s">
        <v>58</v>
      </c>
      <c r="B5" s="238" t="s">
        <v>59</v>
      </c>
      <c r="C5" s="280" t="s">
        <v>60</v>
      </c>
      <c r="D5" s="281"/>
    </row>
    <row r="6" spans="1:4">
      <c r="A6" s="232" t="s">
        <v>61</v>
      </c>
      <c r="B6" s="84">
        <v>0.3</v>
      </c>
      <c r="C6" s="282" t="s">
        <v>62</v>
      </c>
      <c r="D6" s="283"/>
    </row>
    <row r="7" spans="1:4" ht="29.45" thickBot="1">
      <c r="A7" s="233" t="s">
        <v>63</v>
      </c>
      <c r="B7" s="239">
        <f>1-B6</f>
        <v>0.7</v>
      </c>
      <c r="C7" s="284"/>
      <c r="D7" s="285"/>
    </row>
    <row r="8" spans="1:4" ht="15" thickBot="1"/>
    <row r="9" spans="1:4" s="4" customFormat="1" ht="30" customHeight="1" thickBot="1">
      <c r="A9" s="235" t="s">
        <v>64</v>
      </c>
      <c r="B9" s="236" t="s">
        <v>59</v>
      </c>
      <c r="C9" s="274" t="s">
        <v>65</v>
      </c>
      <c r="D9" s="275"/>
    </row>
    <row r="10" spans="1:4" ht="15" customHeight="1" thickBot="1">
      <c r="A10" s="228" t="s">
        <v>66</v>
      </c>
      <c r="B10" s="229">
        <v>1</v>
      </c>
      <c r="C10" s="276" t="s">
        <v>62</v>
      </c>
      <c r="D10" s="277"/>
    </row>
    <row r="11" spans="1:4" ht="15" customHeight="1">
      <c r="A11" s="230" t="s">
        <v>67</v>
      </c>
      <c r="B11" s="231">
        <v>0</v>
      </c>
      <c r="C11" s="278"/>
      <c r="D11" s="279"/>
    </row>
    <row r="12" spans="1:4" ht="15" customHeight="1">
      <c r="A12" s="232" t="s">
        <v>68</v>
      </c>
      <c r="B12" s="84">
        <v>0</v>
      </c>
      <c r="C12" s="286"/>
      <c r="D12" s="287"/>
    </row>
    <row r="13" spans="1:4" ht="15" customHeight="1" thickBot="1">
      <c r="A13" s="233" t="s">
        <v>69</v>
      </c>
      <c r="B13" s="234">
        <v>0</v>
      </c>
      <c r="C13" s="288"/>
      <c r="D13" s="289"/>
    </row>
    <row r="14" spans="1:4" ht="15" customHeight="1" thickBot="1">
      <c r="A14" s="228" t="s">
        <v>70</v>
      </c>
      <c r="B14" s="229">
        <f>SUM(B10:B13)</f>
        <v>1</v>
      </c>
      <c r="C14" s="270" t="str">
        <f>IF(B14=1,"OK","Not OK")</f>
        <v>OK</v>
      </c>
      <c r="D14" s="271"/>
    </row>
    <row r="15" spans="1:4" ht="15" thickBot="1"/>
    <row r="16" spans="1:4" s="5" customFormat="1" ht="30" customHeight="1" thickBot="1">
      <c r="A16" s="235" t="s">
        <v>71</v>
      </c>
      <c r="B16" s="240" t="s">
        <v>72</v>
      </c>
      <c r="C16" s="274" t="s">
        <v>73</v>
      </c>
      <c r="D16" s="275"/>
    </row>
    <row r="17" spans="1:4">
      <c r="A17" s="241" t="s">
        <v>74</v>
      </c>
      <c r="B17" s="242">
        <v>92</v>
      </c>
      <c r="C17" s="272" t="s">
        <v>75</v>
      </c>
      <c r="D17" s="273"/>
    </row>
    <row r="18" spans="1:4" ht="15" thickBot="1">
      <c r="A18" s="243" t="s">
        <v>76</v>
      </c>
      <c r="B18" s="244">
        <v>61</v>
      </c>
      <c r="C18" s="268" t="s">
        <v>75</v>
      </c>
      <c r="D18" s="269"/>
    </row>
    <row r="19" spans="1:4">
      <c r="A19" s="241" t="s">
        <v>77</v>
      </c>
      <c r="B19" s="245">
        <v>135</v>
      </c>
      <c r="C19" s="272"/>
      <c r="D19" s="273"/>
    </row>
    <row r="20" spans="1:4">
      <c r="A20" s="246" t="s">
        <v>78</v>
      </c>
      <c r="B20" s="85">
        <v>91</v>
      </c>
      <c r="C20" s="266"/>
      <c r="D20" s="267"/>
    </row>
    <row r="21" spans="1:4" ht="15" thickBot="1">
      <c r="A21" s="243" t="s">
        <v>79</v>
      </c>
      <c r="B21" s="247">
        <v>78</v>
      </c>
      <c r="C21" s="268"/>
      <c r="D21" s="269"/>
    </row>
    <row r="22" spans="1:4" ht="15" thickBot="1">
      <c r="A22" s="86"/>
      <c r="B22" s="81"/>
      <c r="C22" s="81"/>
      <c r="D22" s="86"/>
    </row>
    <row r="23" spans="1:4" ht="15" thickBot="1">
      <c r="A23" s="248" t="s">
        <v>80</v>
      </c>
      <c r="B23" s="249">
        <f>(B10*B6*B17+B10*B7*B18)+(B11*B19+B12*B20+B13*B21)</f>
        <v>70.3</v>
      </c>
      <c r="C23" s="81"/>
      <c r="D23" s="86"/>
    </row>
  </sheetData>
  <mergeCells count="15">
    <mergeCell ref="C5:D5"/>
    <mergeCell ref="C6:D6"/>
    <mergeCell ref="C7:D7"/>
    <mergeCell ref="C18:D18"/>
    <mergeCell ref="C16:D16"/>
    <mergeCell ref="C17:D17"/>
    <mergeCell ref="C12:D12"/>
    <mergeCell ref="C13:D13"/>
    <mergeCell ref="C20:D20"/>
    <mergeCell ref="C21:D21"/>
    <mergeCell ref="C14:D14"/>
    <mergeCell ref="C19:D19"/>
    <mergeCell ref="C9:D9"/>
    <mergeCell ref="C10:D10"/>
    <mergeCell ref="C11:D11"/>
  </mergeCells>
  <conditionalFormatting sqref="C14">
    <cfRule type="containsText" dxfId="18" priority="1" operator="containsText" text="Not OK">
      <formula>NOT(ISERROR(SEARCH("Not OK",C14)))</formula>
    </cfRule>
    <cfRule type="containsText" dxfId="17" priority="2" operator="containsText" text="OK">
      <formula>NOT(ISERROR(SEARCH("OK",C14)))</formula>
    </cfRule>
    <cfRule type="containsText" dxfId="16" priority="3" operator="containsText" text="Not OK">
      <formula>NOT(ISERROR(SEARCH("Not OK",C14)))</formula>
    </cfRule>
  </conditionalFormatting>
  <pageMargins left="0.7" right="0.7" top="0.75" bottom="0.75" header="0.3" footer="0.3"/>
  <pageSetup paperSize="9" orientation="portrait" r:id="rId1"/>
  <customProperties>
    <customPr name="_pios_id" r:id="rId2"/>
  </customPropertie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D75B3-32AC-43DF-A879-7E7BBF625752}">
  <sheetPr codeName="Sheet5"/>
  <dimension ref="A1:AO57"/>
  <sheetViews>
    <sheetView showGridLines="0" topLeftCell="A24" zoomScale="70" zoomScaleNormal="70" workbookViewId="0">
      <selection activeCell="C35" sqref="C35"/>
    </sheetView>
  </sheetViews>
  <sheetFormatPr defaultColWidth="9.140625" defaultRowHeight="15.6" outlineLevelRow="1"/>
  <cols>
    <col min="1" max="1" width="1.5703125" style="56" customWidth="1"/>
    <col min="2" max="2" width="22.28515625" style="57" bestFit="1" customWidth="1"/>
    <col min="3" max="3" width="41" style="56" customWidth="1"/>
    <col min="4" max="4" width="43.42578125" style="56" customWidth="1"/>
    <col min="5" max="5" width="47.5703125" style="56" customWidth="1"/>
    <col min="6" max="6" width="19" style="57" bestFit="1" customWidth="1"/>
    <col min="7" max="7" width="14.7109375" style="57" customWidth="1"/>
    <col min="8" max="11" width="14.7109375" style="56" customWidth="1"/>
    <col min="12" max="12" width="2.42578125" style="56" customWidth="1"/>
    <col min="13" max="13" width="9.140625" style="56" customWidth="1"/>
    <col min="14" max="19" width="9.140625" style="56"/>
    <col min="20" max="20" width="19.28515625" style="56" customWidth="1"/>
    <col min="21" max="16384" width="9.140625" style="56"/>
  </cols>
  <sheetData>
    <row r="1" spans="1:41" s="73" customFormat="1" ht="14.45">
      <c r="A1" s="73" t="s">
        <v>0</v>
      </c>
    </row>
    <row r="2" spans="1:41" ht="15" customHeight="1">
      <c r="AO2" s="58" t="s">
        <v>81</v>
      </c>
    </row>
    <row r="3" spans="1:41" ht="30" customHeight="1">
      <c r="B3" s="59" t="s">
        <v>82</v>
      </c>
      <c r="C3" s="299" t="s">
        <v>83</v>
      </c>
      <c r="D3" s="299"/>
      <c r="E3" s="222" t="s">
        <v>84</v>
      </c>
      <c r="F3" s="60" t="str">
        <f>IF(E3="Yes","Fill in Step 2 and Step 3.0",IF(E3="No","Only fill in Step 2",""))</f>
        <v>Fill in Step 2 and Step 3.0</v>
      </c>
      <c r="G3" s="60"/>
      <c r="AO3" s="61" t="s">
        <v>85</v>
      </c>
    </row>
    <row r="4" spans="1:41" ht="30" customHeight="1">
      <c r="B4" s="59" t="s">
        <v>86</v>
      </c>
      <c r="C4" s="299" t="s">
        <v>87</v>
      </c>
      <c r="D4" s="299"/>
      <c r="E4" s="222" t="s">
        <v>84</v>
      </c>
      <c r="F4" s="60" t="str">
        <f>IF(E4="Yes","Fill in Step 3.1",IF(E4="No","Leave step 3.1 empty",""))</f>
        <v>Fill in Step 3.1</v>
      </c>
      <c r="G4" s="60"/>
      <c r="AO4" s="61"/>
    </row>
    <row r="5" spans="1:41" ht="9.9499999999999993" customHeight="1">
      <c r="A5" s="62"/>
      <c r="B5" s="62"/>
      <c r="C5" s="62"/>
      <c r="D5" s="62"/>
      <c r="E5" s="62"/>
      <c r="F5" s="62"/>
      <c r="G5" s="62"/>
      <c r="AO5" s="63" t="s">
        <v>84</v>
      </c>
    </row>
    <row r="6" spans="1:41" ht="30" customHeight="1">
      <c r="B6" s="59" t="s">
        <v>88</v>
      </c>
      <c r="C6" s="300" t="s">
        <v>89</v>
      </c>
      <c r="D6" s="301"/>
      <c r="AO6" s="63" t="s">
        <v>90</v>
      </c>
    </row>
    <row r="7" spans="1:41">
      <c r="C7" s="64" t="s">
        <v>91</v>
      </c>
      <c r="D7" s="157" t="s">
        <v>92</v>
      </c>
    </row>
    <row r="8" spans="1:41">
      <c r="C8" s="64" t="s">
        <v>93</v>
      </c>
      <c r="D8" s="157" t="s">
        <v>94</v>
      </c>
    </row>
    <row r="9" spans="1:41">
      <c r="C9" s="64" t="s">
        <v>95</v>
      </c>
      <c r="D9" s="157" t="s">
        <v>96</v>
      </c>
    </row>
    <row r="10" spans="1:41" ht="9.9499999999999993" customHeight="1"/>
    <row r="11" spans="1:41" ht="37.5" customHeight="1" thickBot="1">
      <c r="B11" s="65" t="s">
        <v>97</v>
      </c>
      <c r="C11" s="312" t="s">
        <v>98</v>
      </c>
      <c r="D11" s="313"/>
      <c r="E11" s="314"/>
      <c r="F11" s="315"/>
      <c r="G11" s="316" t="s">
        <v>99</v>
      </c>
      <c r="H11" s="293"/>
      <c r="I11" s="293"/>
      <c r="J11" s="293"/>
      <c r="K11" s="294"/>
      <c r="M11" s="302" t="s">
        <v>100</v>
      </c>
      <c r="N11" s="303"/>
      <c r="O11" s="303"/>
      <c r="P11" s="303"/>
      <c r="Q11" s="303"/>
      <c r="R11" s="303"/>
      <c r="S11" s="303"/>
      <c r="T11" s="303"/>
      <c r="U11" s="303"/>
      <c r="V11" s="303"/>
    </row>
    <row r="12" spans="1:41" ht="15.75" customHeight="1">
      <c r="B12" s="67"/>
      <c r="C12" s="322" t="s">
        <v>101</v>
      </c>
      <c r="D12" s="322" t="s">
        <v>102</v>
      </c>
      <c r="E12" s="322" t="s">
        <v>103</v>
      </c>
      <c r="F12" s="316" t="s">
        <v>104</v>
      </c>
      <c r="G12" s="207">
        <f>Frontpage!$B$23</f>
        <v>2026</v>
      </c>
      <c r="H12" s="317">
        <f>Frontpage!$B$23+1</f>
        <v>2027</v>
      </c>
      <c r="I12" s="317">
        <f>H12+1</f>
        <v>2028</v>
      </c>
      <c r="J12" s="317">
        <f>I12+1</f>
        <v>2029</v>
      </c>
      <c r="K12" s="319">
        <f>J12+1</f>
        <v>2030</v>
      </c>
      <c r="M12" s="304"/>
      <c r="N12" s="305"/>
      <c r="O12" s="305"/>
      <c r="P12" s="305"/>
      <c r="Q12" s="305"/>
      <c r="R12" s="305"/>
      <c r="S12" s="305"/>
      <c r="T12" s="305"/>
      <c r="U12" s="305"/>
      <c r="V12" s="305"/>
    </row>
    <row r="13" spans="1:41" s="66" customFormat="1" ht="37.5" customHeight="1">
      <c r="B13" s="67"/>
      <c r="C13" s="323"/>
      <c r="D13" s="323"/>
      <c r="E13" s="323"/>
      <c r="F13" s="321"/>
      <c r="G13" s="219" t="s">
        <v>105</v>
      </c>
      <c r="H13" s="318"/>
      <c r="I13" s="318"/>
      <c r="J13" s="318"/>
      <c r="K13" s="320"/>
      <c r="M13" s="306"/>
      <c r="N13" s="307"/>
      <c r="O13" s="307"/>
      <c r="P13" s="307"/>
      <c r="Q13" s="307"/>
      <c r="R13" s="307"/>
      <c r="S13" s="307"/>
      <c r="T13" s="307"/>
      <c r="U13" s="307"/>
      <c r="V13" s="307"/>
    </row>
    <row r="14" spans="1:41">
      <c r="C14" s="218" t="s">
        <v>106</v>
      </c>
      <c r="D14" s="218" t="s">
        <v>107</v>
      </c>
      <c r="E14" s="74" t="s">
        <v>108</v>
      </c>
      <c r="F14" s="189"/>
      <c r="G14" s="208"/>
      <c r="H14" s="191"/>
      <c r="I14" s="182"/>
      <c r="J14" s="182"/>
      <c r="K14" s="182"/>
      <c r="M14" s="308" t="s">
        <v>109</v>
      </c>
      <c r="N14" s="308"/>
      <c r="O14" s="308"/>
      <c r="P14" s="308"/>
      <c r="Q14" s="308"/>
      <c r="R14" s="308"/>
      <c r="S14" s="308"/>
      <c r="T14" s="308"/>
      <c r="U14" s="308"/>
      <c r="V14" s="308"/>
    </row>
    <row r="15" spans="1:41">
      <c r="C15" s="64" t="s">
        <v>106</v>
      </c>
      <c r="D15" s="64" t="s">
        <v>110</v>
      </c>
      <c r="E15" s="74" t="s">
        <v>111</v>
      </c>
      <c r="F15" s="189"/>
      <c r="G15" s="208"/>
      <c r="H15" s="191"/>
      <c r="I15" s="182"/>
      <c r="J15" s="182"/>
      <c r="K15" s="182"/>
      <c r="M15" s="309" t="s">
        <v>112</v>
      </c>
      <c r="N15" s="310"/>
      <c r="O15" s="310"/>
      <c r="P15" s="310"/>
      <c r="Q15" s="310"/>
      <c r="R15" s="310"/>
      <c r="S15" s="310"/>
      <c r="T15" s="310"/>
      <c r="U15" s="310"/>
      <c r="V15" s="311"/>
    </row>
    <row r="16" spans="1:41">
      <c r="C16" s="64" t="s">
        <v>113</v>
      </c>
      <c r="D16" s="64" t="s">
        <v>114</v>
      </c>
      <c r="E16" s="74" t="s">
        <v>115</v>
      </c>
      <c r="F16" s="189"/>
      <c r="G16" s="208"/>
      <c r="H16" s="191"/>
      <c r="I16" s="182"/>
      <c r="J16" s="182"/>
      <c r="K16" s="182"/>
      <c r="M16" s="308" t="s">
        <v>116</v>
      </c>
      <c r="N16" s="308"/>
      <c r="O16" s="308"/>
      <c r="P16" s="308"/>
      <c r="Q16" s="308"/>
      <c r="R16" s="308"/>
      <c r="S16" s="308"/>
      <c r="T16" s="308"/>
      <c r="U16" s="308"/>
      <c r="V16" s="308"/>
    </row>
    <row r="17" spans="2:13">
      <c r="C17" s="64" t="s">
        <v>117</v>
      </c>
      <c r="D17" s="64" t="s">
        <v>117</v>
      </c>
      <c r="E17" s="74" t="s">
        <v>118</v>
      </c>
      <c r="F17" s="189"/>
      <c r="G17" s="208"/>
      <c r="H17" s="191"/>
      <c r="I17" s="182"/>
      <c r="J17" s="182"/>
      <c r="K17" s="182"/>
    </row>
    <row r="18" spans="2:13">
      <c r="C18" s="64" t="s">
        <v>119</v>
      </c>
      <c r="D18" s="64" t="s">
        <v>120</v>
      </c>
      <c r="E18" s="74" t="s">
        <v>121</v>
      </c>
      <c r="F18" s="189"/>
      <c r="G18" s="208"/>
      <c r="H18" s="191"/>
      <c r="I18" s="182"/>
      <c r="J18" s="182"/>
      <c r="K18" s="182"/>
      <c r="M18" s="68"/>
    </row>
    <row r="19" spans="2:13">
      <c r="C19" s="64" t="s">
        <v>119</v>
      </c>
      <c r="D19" s="64" t="s">
        <v>122</v>
      </c>
      <c r="E19" s="74" t="s">
        <v>123</v>
      </c>
      <c r="F19" s="189"/>
      <c r="G19" s="208"/>
      <c r="H19" s="191"/>
      <c r="I19" s="182"/>
      <c r="J19" s="182"/>
      <c r="K19" s="182"/>
    </row>
    <row r="20" spans="2:13">
      <c r="C20" s="64" t="s">
        <v>124</v>
      </c>
      <c r="D20" s="64" t="s">
        <v>124</v>
      </c>
      <c r="E20" s="74" t="s">
        <v>125</v>
      </c>
      <c r="F20" s="189"/>
      <c r="G20" s="208"/>
      <c r="H20" s="191"/>
      <c r="I20" s="182"/>
      <c r="J20" s="182"/>
      <c r="K20" s="182"/>
    </row>
    <row r="21" spans="2:13" ht="15.95" thickBot="1">
      <c r="C21" s="69" t="s">
        <v>95</v>
      </c>
      <c r="D21" s="69" t="s">
        <v>126</v>
      </c>
      <c r="E21" s="76"/>
      <c r="F21" s="190"/>
      <c r="G21" s="209"/>
      <c r="H21" s="192"/>
      <c r="I21" s="183"/>
      <c r="J21" s="183"/>
      <c r="K21" s="183"/>
    </row>
    <row r="22" spans="2:13" ht="15.95" thickBot="1">
      <c r="C22" s="296" t="s">
        <v>127</v>
      </c>
      <c r="D22" s="297"/>
      <c r="E22" s="297"/>
      <c r="F22" s="297"/>
      <c r="G22" s="210">
        <f>ROUND(SUM(G14:G21),1)</f>
        <v>0</v>
      </c>
      <c r="H22" s="193">
        <f>ROUND(SUM(H14:H21),1)</f>
        <v>0</v>
      </c>
      <c r="I22" s="184">
        <f>ROUND(SUM(I14:I21),1)</f>
        <v>0</v>
      </c>
      <c r="J22" s="184">
        <f>ROUND(SUM(J14:J21),1)</f>
        <v>0</v>
      </c>
      <c r="K22" s="185">
        <f>ROUND(SUM(K14:K21),1)</f>
        <v>0</v>
      </c>
    </row>
    <row r="23" spans="2:13" ht="9.9499999999999993" customHeight="1"/>
    <row r="24" spans="2:13" ht="37.5" customHeight="1">
      <c r="B24" s="70" t="s">
        <v>128</v>
      </c>
      <c r="C24" s="292" t="s">
        <v>129</v>
      </c>
      <c r="D24" s="293"/>
      <c r="E24" s="293"/>
      <c r="F24" s="294"/>
      <c r="G24" s="292" t="s">
        <v>130</v>
      </c>
      <c r="H24" s="293"/>
      <c r="I24" s="293"/>
      <c r="J24" s="293"/>
      <c r="K24" s="294"/>
    </row>
    <row r="25" spans="2:13" ht="37.5" customHeight="1">
      <c r="C25" s="158" t="s">
        <v>101</v>
      </c>
      <c r="D25" s="158" t="s">
        <v>102</v>
      </c>
      <c r="E25" s="158" t="s">
        <v>103</v>
      </c>
      <c r="F25" s="158" t="s">
        <v>104</v>
      </c>
      <c r="G25" s="158">
        <f>Frontpage!$B$23</f>
        <v>2026</v>
      </c>
      <c r="H25" s="158">
        <f>H12</f>
        <v>2027</v>
      </c>
      <c r="I25" s="158">
        <f>I12</f>
        <v>2028</v>
      </c>
      <c r="J25" s="158">
        <f>J12</f>
        <v>2029</v>
      </c>
      <c r="K25" s="158">
        <f>K12</f>
        <v>2030</v>
      </c>
    </row>
    <row r="26" spans="2:13" outlineLevel="1">
      <c r="C26" s="64" t="s">
        <v>106</v>
      </c>
      <c r="D26" s="64" t="s">
        <v>107</v>
      </c>
      <c r="E26" s="74" t="s">
        <v>108</v>
      </c>
      <c r="F26" s="75"/>
      <c r="G26" s="181"/>
      <c r="H26" s="182"/>
      <c r="I26" s="182"/>
      <c r="J26" s="182"/>
      <c r="K26" s="182"/>
    </row>
    <row r="27" spans="2:13" outlineLevel="1">
      <c r="C27" s="64" t="s">
        <v>119</v>
      </c>
      <c r="D27" s="64" t="s">
        <v>120</v>
      </c>
      <c r="E27" s="74"/>
      <c r="F27" s="75"/>
      <c r="G27" s="181"/>
      <c r="H27" s="182"/>
      <c r="I27" s="182"/>
      <c r="J27" s="182"/>
      <c r="K27" s="182"/>
    </row>
    <row r="28" spans="2:13" ht="15.95" outlineLevel="1" thickBot="1">
      <c r="C28" s="64" t="s">
        <v>95</v>
      </c>
      <c r="D28" s="64" t="s">
        <v>126</v>
      </c>
      <c r="E28" s="74"/>
      <c r="F28" s="75"/>
      <c r="G28" s="181"/>
      <c r="H28" s="182"/>
      <c r="I28" s="182"/>
      <c r="J28" s="182"/>
      <c r="K28" s="182"/>
    </row>
    <row r="29" spans="2:13" ht="15.95" thickBot="1">
      <c r="C29" s="296" t="s">
        <v>131</v>
      </c>
      <c r="D29" s="297"/>
      <c r="E29" s="297"/>
      <c r="F29" s="298"/>
      <c r="G29" s="174">
        <f>ROUND(SUM(G26:G28),1)</f>
        <v>0</v>
      </c>
      <c r="H29" s="174">
        <f>ROUND(SUM(H26:H28),1)</f>
        <v>0</v>
      </c>
      <c r="I29" s="174">
        <f t="shared" ref="I29:K29" si="0">ROUND(SUM(I26:I28),1)</f>
        <v>0</v>
      </c>
      <c r="J29" s="174">
        <f t="shared" si="0"/>
        <v>0</v>
      </c>
      <c r="K29" s="174">
        <f t="shared" si="0"/>
        <v>0</v>
      </c>
    </row>
    <row r="30" spans="2:13" ht="9.9499999999999993" customHeight="1" thickBot="1">
      <c r="G30" s="175"/>
      <c r="H30" s="175"/>
      <c r="I30" s="175"/>
      <c r="J30" s="175"/>
      <c r="K30" s="175"/>
    </row>
    <row r="31" spans="2:13" ht="15.95" thickBot="1">
      <c r="C31" s="340" t="s">
        <v>132</v>
      </c>
      <c r="D31" s="341"/>
      <c r="E31" s="341"/>
      <c r="F31" s="342"/>
      <c r="G31" s="186">
        <f>G22</f>
        <v>0</v>
      </c>
      <c r="H31" s="178"/>
      <c r="I31" s="179"/>
      <c r="J31" s="179"/>
      <c r="K31" s="180"/>
      <c r="L31" s="57"/>
      <c r="M31" s="57"/>
    </row>
    <row r="32" spans="2:13" ht="15.95" thickBot="1">
      <c r="C32" s="343" t="s">
        <v>133</v>
      </c>
      <c r="D32" s="344"/>
      <c r="E32" s="344"/>
      <c r="F32" s="345"/>
      <c r="G32" s="187">
        <f>G29</f>
        <v>0</v>
      </c>
      <c r="H32" s="187">
        <f>+H22+H29</f>
        <v>0</v>
      </c>
      <c r="I32" s="187">
        <f>+I22+I29</f>
        <v>0</v>
      </c>
      <c r="J32" s="187">
        <f>+J22+J29</f>
        <v>0</v>
      </c>
      <c r="K32" s="188">
        <f>+K22+K29</f>
        <v>0</v>
      </c>
      <c r="L32" s="57"/>
      <c r="M32" s="57"/>
    </row>
    <row r="33" spans="2:7" ht="22.5" customHeight="1"/>
    <row r="34" spans="2:7" ht="20.100000000000001" customHeight="1">
      <c r="B34" s="70" t="s">
        <v>134</v>
      </c>
      <c r="C34" s="292" t="s">
        <v>134</v>
      </c>
      <c r="D34" s="293"/>
      <c r="E34" s="293"/>
      <c r="F34" s="294"/>
      <c r="G34" s="176"/>
    </row>
    <row r="35" spans="2:7" ht="15" customHeight="1">
      <c r="C35" s="158" t="s">
        <v>135</v>
      </c>
      <c r="D35" s="158" t="s">
        <v>136</v>
      </c>
      <c r="E35" s="292" t="s">
        <v>137</v>
      </c>
      <c r="F35" s="294"/>
      <c r="G35" s="176"/>
    </row>
    <row r="36" spans="2:7">
      <c r="C36" s="64" t="s">
        <v>138</v>
      </c>
      <c r="D36" s="64" t="s">
        <v>139</v>
      </c>
      <c r="E36" s="295" t="s">
        <v>140</v>
      </c>
      <c r="F36" s="295"/>
      <c r="G36" s="176"/>
    </row>
    <row r="37" spans="2:7">
      <c r="C37" s="64" t="s">
        <v>141</v>
      </c>
      <c r="D37" s="64" t="s">
        <v>139</v>
      </c>
      <c r="E37" s="295" t="s">
        <v>140</v>
      </c>
      <c r="F37" s="295"/>
      <c r="G37" s="176"/>
    </row>
    <row r="38" spans="2:7">
      <c r="C38" s="64" t="s">
        <v>142</v>
      </c>
      <c r="D38" s="64" t="s">
        <v>139</v>
      </c>
      <c r="E38" s="295" t="s">
        <v>140</v>
      </c>
      <c r="F38" s="295"/>
      <c r="G38" s="176"/>
    </row>
    <row r="39" spans="2:7">
      <c r="C39" s="64" t="s">
        <v>143</v>
      </c>
      <c r="D39" s="64" t="s">
        <v>144</v>
      </c>
      <c r="E39" s="295" t="s">
        <v>145</v>
      </c>
      <c r="F39" s="295"/>
      <c r="G39" s="176"/>
    </row>
    <row r="40" spans="2:7">
      <c r="C40" s="64" t="s">
        <v>146</v>
      </c>
      <c r="D40" s="64" t="s">
        <v>147</v>
      </c>
      <c r="E40" s="295" t="s">
        <v>148</v>
      </c>
      <c r="F40" s="295"/>
      <c r="G40" s="176"/>
    </row>
    <row r="41" spans="2:7">
      <c r="C41" s="64" t="s">
        <v>149</v>
      </c>
      <c r="D41" s="64" t="s">
        <v>147</v>
      </c>
      <c r="E41" s="295" t="s">
        <v>148</v>
      </c>
      <c r="F41" s="295"/>
      <c r="G41" s="176"/>
    </row>
    <row r="42" spans="2:7">
      <c r="C42" s="64" t="s">
        <v>150</v>
      </c>
      <c r="D42" s="64" t="s">
        <v>151</v>
      </c>
      <c r="E42" s="295" t="s">
        <v>152</v>
      </c>
      <c r="F42" s="295"/>
      <c r="G42" s="176"/>
    </row>
    <row r="43" spans="2:7">
      <c r="C43" s="64" t="s">
        <v>153</v>
      </c>
      <c r="D43" s="64" t="s">
        <v>151</v>
      </c>
      <c r="E43" s="295" t="s">
        <v>152</v>
      </c>
      <c r="F43" s="295"/>
      <c r="G43" s="176"/>
    </row>
    <row r="44" spans="2:7">
      <c r="C44" s="64" t="s">
        <v>154</v>
      </c>
      <c r="D44" s="64" t="s">
        <v>155</v>
      </c>
      <c r="E44" s="295" t="s">
        <v>156</v>
      </c>
      <c r="F44" s="295"/>
      <c r="G44" s="176"/>
    </row>
    <row r="45" spans="2:7">
      <c r="C45" s="64" t="s">
        <v>157</v>
      </c>
      <c r="D45" s="64" t="s">
        <v>155</v>
      </c>
      <c r="E45" s="295" t="s">
        <v>156</v>
      </c>
      <c r="F45" s="295"/>
      <c r="G45" s="176"/>
    </row>
    <row r="46" spans="2:7">
      <c r="C46" s="64" t="s">
        <v>158</v>
      </c>
      <c r="D46" s="64" t="s">
        <v>155</v>
      </c>
      <c r="E46" s="295" t="s">
        <v>156</v>
      </c>
      <c r="F46" s="295"/>
      <c r="G46" s="176"/>
    </row>
    <row r="47" spans="2:7">
      <c r="C47" s="64" t="s">
        <v>159</v>
      </c>
      <c r="D47" s="64" t="s">
        <v>160</v>
      </c>
      <c r="E47" s="295" t="s">
        <v>161</v>
      </c>
      <c r="F47" s="295"/>
      <c r="G47" s="176"/>
    </row>
    <row r="48" spans="2:7">
      <c r="C48" s="64" t="s">
        <v>162</v>
      </c>
      <c r="D48" s="64" t="s">
        <v>160</v>
      </c>
      <c r="E48" s="295" t="s">
        <v>161</v>
      </c>
      <c r="F48" s="295"/>
      <c r="G48" s="176"/>
    </row>
    <row r="49" spans="3:7">
      <c r="C49" s="64" t="s">
        <v>163</v>
      </c>
      <c r="D49" s="64" t="s">
        <v>164</v>
      </c>
      <c r="E49" s="295" t="s">
        <v>165</v>
      </c>
      <c r="F49" s="295"/>
      <c r="G49" s="176"/>
    </row>
    <row r="50" spans="3:7">
      <c r="C50" s="64" t="s">
        <v>166</v>
      </c>
      <c r="D50" s="64" t="s">
        <v>167</v>
      </c>
      <c r="E50" s="295" t="s">
        <v>165</v>
      </c>
      <c r="F50" s="295"/>
      <c r="G50" s="176"/>
    </row>
    <row r="51" spans="3:7">
      <c r="C51" s="64" t="s">
        <v>168</v>
      </c>
      <c r="D51" s="64" t="s">
        <v>169</v>
      </c>
      <c r="E51" s="290" t="s">
        <v>165</v>
      </c>
      <c r="F51" s="291"/>
      <c r="G51" s="176"/>
    </row>
    <row r="52" spans="3:7">
      <c r="C52" s="64" t="s">
        <v>170</v>
      </c>
      <c r="D52" s="64" t="s">
        <v>171</v>
      </c>
      <c r="E52" s="290" t="s">
        <v>165</v>
      </c>
      <c r="F52" s="291"/>
      <c r="G52" s="176"/>
    </row>
    <row r="53" spans="3:7">
      <c r="C53" s="64" t="s">
        <v>172</v>
      </c>
      <c r="D53" s="64" t="s">
        <v>171</v>
      </c>
      <c r="E53" s="290" t="s">
        <v>165</v>
      </c>
      <c r="F53" s="291"/>
      <c r="G53" s="176"/>
    </row>
    <row r="54" spans="3:7">
      <c r="C54" s="64" t="s">
        <v>173</v>
      </c>
      <c r="D54" s="225" t="s">
        <v>174</v>
      </c>
      <c r="E54" s="290" t="s">
        <v>175</v>
      </c>
      <c r="F54" s="291"/>
    </row>
    <row r="55" spans="3:7">
      <c r="C55" s="64" t="s">
        <v>176</v>
      </c>
      <c r="D55" s="64" t="s">
        <v>177</v>
      </c>
      <c r="E55" s="290" t="s">
        <v>178</v>
      </c>
      <c r="F55" s="291"/>
    </row>
    <row r="56" spans="3:7">
      <c r="C56" s="64" t="s">
        <v>179</v>
      </c>
      <c r="D56" s="64" t="s">
        <v>180</v>
      </c>
      <c r="E56" s="290" t="s">
        <v>178</v>
      </c>
      <c r="F56" s="291"/>
    </row>
    <row r="57" spans="3:7">
      <c r="C57" s="64" t="s">
        <v>181</v>
      </c>
      <c r="D57" s="64" t="s">
        <v>182</v>
      </c>
      <c r="E57" s="290" t="s">
        <v>183</v>
      </c>
      <c r="F57" s="291"/>
    </row>
  </sheetData>
  <mergeCells count="47">
    <mergeCell ref="E53:F53"/>
    <mergeCell ref="E57:F57"/>
    <mergeCell ref="E49:F49"/>
    <mergeCell ref="E56:F56"/>
    <mergeCell ref="G11:K11"/>
    <mergeCell ref="G24:K24"/>
    <mergeCell ref="C31:F31"/>
    <mergeCell ref="H12:H13"/>
    <mergeCell ref="I12:I13"/>
    <mergeCell ref="J12:J13"/>
    <mergeCell ref="K12:K13"/>
    <mergeCell ref="F12:F13"/>
    <mergeCell ref="E12:E13"/>
    <mergeCell ref="D12:D13"/>
    <mergeCell ref="C12:C13"/>
    <mergeCell ref="C22:F22"/>
    <mergeCell ref="E55:F55"/>
    <mergeCell ref="C3:D3"/>
    <mergeCell ref="C6:D6"/>
    <mergeCell ref="M11:V13"/>
    <mergeCell ref="M14:V14"/>
    <mergeCell ref="M15:V15"/>
    <mergeCell ref="C11:F11"/>
    <mergeCell ref="E43:F43"/>
    <mergeCell ref="M16:V16"/>
    <mergeCell ref="C34:F34"/>
    <mergeCell ref="E35:F35"/>
    <mergeCell ref="E36:F36"/>
    <mergeCell ref="E37:F37"/>
    <mergeCell ref="E51:F51"/>
    <mergeCell ref="C4:D4"/>
    <mergeCell ref="E54:F54"/>
    <mergeCell ref="E52:F52"/>
    <mergeCell ref="C24:F24"/>
    <mergeCell ref="E47:F47"/>
    <mergeCell ref="E48:F48"/>
    <mergeCell ref="E50:F50"/>
    <mergeCell ref="E44:F44"/>
    <mergeCell ref="E45:F45"/>
    <mergeCell ref="E46:F46"/>
    <mergeCell ref="E38:F38"/>
    <mergeCell ref="E39:F39"/>
    <mergeCell ref="E40:F40"/>
    <mergeCell ref="E41:F41"/>
    <mergeCell ref="E42:F42"/>
    <mergeCell ref="C29:F29"/>
    <mergeCell ref="C32:F32"/>
  </mergeCells>
  <dataValidations count="1">
    <dataValidation type="list" allowBlank="1" showInputMessage="1" showErrorMessage="1" sqref="E3:E4" xr:uid="{D7E96EE3-5FAE-4E28-8159-AF19B32AD9DA}">
      <formula1>$AO$5:$AO$6</formula1>
    </dataValidation>
  </dataValidations>
  <pageMargins left="0.7" right="0.7" top="0.75" bottom="0.75" header="0.3" footer="0.3"/>
  <pageSetup paperSize="9" orientation="portrait" r:id="rId1"/>
  <customProperties>
    <customPr name="_pios_id" r:id="rId2"/>
  </customProperties>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76709-EC90-4B11-B007-287712833650}">
  <sheetPr codeName="Sheet3"/>
  <dimension ref="A1:J19"/>
  <sheetViews>
    <sheetView showGridLines="0" workbookViewId="0">
      <selection activeCell="C32" sqref="C32"/>
    </sheetView>
  </sheetViews>
  <sheetFormatPr defaultColWidth="8.5703125" defaultRowHeight="14.45"/>
  <cols>
    <col min="1" max="1" width="35.42578125" customWidth="1"/>
    <col min="2" max="2" width="50.28515625" customWidth="1"/>
    <col min="3" max="8" width="16.42578125" customWidth="1"/>
    <col min="9" max="10" width="8.5703125" customWidth="1"/>
  </cols>
  <sheetData>
    <row r="1" spans="1:10" s="73" customFormat="1">
      <c r="A1" s="73" t="s">
        <v>0</v>
      </c>
    </row>
    <row r="2" spans="1:10">
      <c r="A2" s="2"/>
      <c r="C2" s="2"/>
      <c r="D2" s="1"/>
      <c r="E2" s="1"/>
      <c r="F2" s="2"/>
    </row>
    <row r="3" spans="1:10">
      <c r="A3" s="214" t="s">
        <v>184</v>
      </c>
      <c r="C3" s="214"/>
      <c r="D3" s="1"/>
      <c r="E3" s="1"/>
      <c r="F3" s="2"/>
    </row>
    <row r="5" spans="1:10">
      <c r="A5" s="217" t="s">
        <v>185</v>
      </c>
      <c r="B5" s="217"/>
    </row>
    <row r="6" spans="1:10" ht="5.25" customHeight="1"/>
    <row r="7" spans="1:10">
      <c r="A7" s="216" t="s">
        <v>186</v>
      </c>
      <c r="B7" s="216"/>
      <c r="C7" s="213" t="s">
        <v>70</v>
      </c>
      <c r="D7" s="213">
        <f>Frontpage!$B$23</f>
        <v>2026</v>
      </c>
      <c r="E7" s="213">
        <f>D7+1</f>
        <v>2027</v>
      </c>
      <c r="F7" s="213">
        <f t="shared" ref="F7:H7" si="0">E7+1</f>
        <v>2028</v>
      </c>
      <c r="G7" s="213">
        <f t="shared" si="0"/>
        <v>2029</v>
      </c>
      <c r="H7" s="213">
        <f t="shared" si="0"/>
        <v>2030</v>
      </c>
    </row>
    <row r="8" spans="1:10">
      <c r="A8" s="215"/>
      <c r="B8" s="89" t="s">
        <v>187</v>
      </c>
      <c r="C8" s="80" t="str">
        <f>IF(SUM(D8:H8)=0,"",SUM(D8:H8))</f>
        <v/>
      </c>
      <c r="D8" s="80" t="str">
        <f>IF(('#5 Cost Overview'!D14+'#5 Cost Overview'!D26)*(1-'#5 Cost Overview'!$B$8)*1000=0,"",('#5 Cost Overview'!D14+'#5 Cost Overview'!D26)*(1-'#5 Cost Overview'!$B$8)*1000)</f>
        <v/>
      </c>
      <c r="E8" s="80" t="str">
        <f>IF(('#5 Cost Overview'!E14+'#5 Cost Overview'!E26)*(1-'#5 Cost Overview'!$B$8)*1000=0,"",('#5 Cost Overview'!E14+'#5 Cost Overview'!E26)*(1-'#5 Cost Overview'!$B$8)*1000)</f>
        <v/>
      </c>
      <c r="F8" s="80" t="str">
        <f>IF(('#5 Cost Overview'!F14+'#5 Cost Overview'!F26)*(1-'#5 Cost Overview'!$B$8)*1000=0,"",('#5 Cost Overview'!F14+'#5 Cost Overview'!F26)*(1-'#5 Cost Overview'!$B$8)*1000)</f>
        <v/>
      </c>
      <c r="G8" s="80" t="str">
        <f>IF(('#5 Cost Overview'!G14+'#5 Cost Overview'!G26)*(1-'#5 Cost Overview'!$B$8)*1000=0,"",('#5 Cost Overview'!G14+'#5 Cost Overview'!G26)*(1-'#5 Cost Overview'!$B$8)*1000)</f>
        <v/>
      </c>
      <c r="H8" s="80" t="str">
        <f>IF(('#5 Cost Overview'!H14+'#5 Cost Overview'!H26)*(1-'#5 Cost Overview'!$B$8)*1000=0,"",('#5 Cost Overview'!H14+'#5 Cost Overview'!H26)*(1-'#5 Cost Overview'!$B$8)*1000)</f>
        <v/>
      </c>
      <c r="J8" s="212"/>
    </row>
    <row r="9" spans="1:10">
      <c r="A9" s="215"/>
      <c r="B9" s="89" t="s">
        <v>188</v>
      </c>
      <c r="C9" s="80" t="str">
        <f>IF(SUM(D9:H9)=0,"",SUM(D9:H9))</f>
        <v/>
      </c>
      <c r="D9" s="80" t="str">
        <f>IF('#5 Cost Overview'!D18*1000=0,"",'#5 Cost Overview'!D18*1000)</f>
        <v/>
      </c>
      <c r="E9" s="80" t="str">
        <f>IF('#5 Cost Overview'!E18*1000=0,"",'#5 Cost Overview'!E18*1000)</f>
        <v/>
      </c>
      <c r="F9" s="80" t="str">
        <f>IF('#5 Cost Overview'!F18*1000=0,"",'#5 Cost Overview'!F18*1000)</f>
        <v/>
      </c>
      <c r="G9" s="80" t="str">
        <f>IF('#5 Cost Overview'!G18*1000=0,"",'#5 Cost Overview'!G18*1000)</f>
        <v/>
      </c>
      <c r="H9" s="80" t="str">
        <f>IF('#5 Cost Overview'!H18*1000=0,"",'#5 Cost Overview'!H18*1000)</f>
        <v/>
      </c>
    </row>
    <row r="10" spans="1:10">
      <c r="A10" s="215"/>
      <c r="B10" s="89" t="s">
        <v>189</v>
      </c>
      <c r="C10" s="80">
        <f t="shared" ref="C10" si="1">IF(SUM(D10:H10)=0,"",SUM(D10:H10))</f>
        <v>30004800</v>
      </c>
      <c r="D10" s="80">
        <f>IF(('#5 Cost Overview'!D14+'#5 Cost Overview'!D26)*('#5 Cost Overview'!$B$8)*1000=0,"",('#5 Cost Overview'!D14+'#5 Cost Overview'!D26)*('#5 Cost Overview'!$B$8)*1000)</f>
        <v>30004600</v>
      </c>
      <c r="E10" s="80">
        <f>IF(('#5 Cost Overview'!E14+'#5 Cost Overview'!E26)*('#5 Cost Overview'!$B$8)*1000=0,"",('#5 Cost Overview'!E14+'#5 Cost Overview'!E26)*('#5 Cost Overview'!$B$8)*1000)</f>
        <v>200</v>
      </c>
      <c r="F10" s="80" t="str">
        <f>IF(('#5 Cost Overview'!F14+'#5 Cost Overview'!F26)*('#5 Cost Overview'!$B$8)*1000=0,"",('#5 Cost Overview'!F14+'#5 Cost Overview'!F26)*('#5 Cost Overview'!$B$8)*1000)</f>
        <v/>
      </c>
      <c r="G10" s="80" t="str">
        <f>IF(('#5 Cost Overview'!G14+'#5 Cost Overview'!G26)*('#5 Cost Overview'!$B$8)*1000=0,"",('#5 Cost Overview'!G14+'#5 Cost Overview'!G26)*('#5 Cost Overview'!$B$8)*1000)</f>
        <v/>
      </c>
      <c r="H10" s="80" t="str">
        <f>IF(('#5 Cost Overview'!H14+'#5 Cost Overview'!H26)*('#5 Cost Overview'!$B$8)*1000=0,"",('#5 Cost Overview'!H14+'#5 Cost Overview'!H26)*('#5 Cost Overview'!$B$8)*1000)</f>
        <v/>
      </c>
    </row>
    <row r="13" spans="1:10">
      <c r="A13" s="217" t="s">
        <v>190</v>
      </c>
      <c r="B13" s="217"/>
      <c r="C13" s="2"/>
      <c r="D13" s="1"/>
      <c r="E13" s="1"/>
      <c r="F13" s="2"/>
    </row>
    <row r="14" spans="1:10" ht="5.25" customHeight="1">
      <c r="C14" s="2"/>
      <c r="D14" s="1"/>
      <c r="E14" s="1"/>
      <c r="F14" s="2"/>
    </row>
    <row r="15" spans="1:10">
      <c r="A15" s="324" t="s">
        <v>186</v>
      </c>
      <c r="B15" s="324"/>
      <c r="C15" s="213"/>
      <c r="D15" s="213">
        <f>Frontpage!$B$23</f>
        <v>2026</v>
      </c>
      <c r="E15" s="213">
        <f>D15+1</f>
        <v>2027</v>
      </c>
      <c r="F15" s="213">
        <f t="shared" ref="F15:H15" si="2">E15+1</f>
        <v>2028</v>
      </c>
      <c r="G15" s="213">
        <f t="shared" si="2"/>
        <v>2029</v>
      </c>
      <c r="H15" s="213">
        <f t="shared" si="2"/>
        <v>2030</v>
      </c>
    </row>
    <row r="16" spans="1:10">
      <c r="A16" s="215" t="s">
        <v>191</v>
      </c>
      <c r="B16" s="89" t="s">
        <v>189</v>
      </c>
      <c r="C16" s="80"/>
      <c r="D16" s="80">
        <f>IF(-('#5 Cost Overview'!D14+'#5 Cost Overview'!D26)*('#5 Cost Overview'!$B$8)*1000=0,"",-('#5 Cost Overview'!D14+'#5 Cost Overview'!D26)*('#5 Cost Overview'!$B$8)*1000)</f>
        <v>-30004600</v>
      </c>
      <c r="E16" s="80">
        <f>IF(-('#5 Cost Overview'!E14+'#5 Cost Overview'!E26)*('#5 Cost Overview'!$B$8)*1000=0,"",-('#5 Cost Overview'!E14+'#5 Cost Overview'!E26)*('#5 Cost Overview'!$B$8)*1000)</f>
        <v>-200</v>
      </c>
      <c r="F16" s="80" t="str">
        <f>IF(-('#5 Cost Overview'!F14+'#5 Cost Overview'!F26)*('#5 Cost Overview'!$B$8)*1000=0,"",-('#5 Cost Overview'!F14+'#5 Cost Overview'!F26)*('#5 Cost Overview'!$B$8)*1000)</f>
        <v/>
      </c>
      <c r="G16" s="80" t="str">
        <f>IF(-('#5 Cost Overview'!G14+'#5 Cost Overview'!G26)*('#5 Cost Overview'!$B$8)*1000=0,"",-('#5 Cost Overview'!G14+'#5 Cost Overview'!G26)*('#5 Cost Overview'!$B$8)*1000)</f>
        <v/>
      </c>
      <c r="H16" s="80" t="str">
        <f>IF(-('#5 Cost Overview'!H14+'#5 Cost Overview'!H26)*('#5 Cost Overview'!$B$8)*1000=0,"",-('#5 Cost Overview'!H14+'#5 Cost Overview'!H26)*('#5 Cost Overview'!$B$8)*1000)</f>
        <v/>
      </c>
    </row>
    <row r="17" spans="1:8">
      <c r="A17" s="215" t="s">
        <v>191</v>
      </c>
      <c r="B17" s="89" t="s">
        <v>192</v>
      </c>
      <c r="C17" s="80"/>
      <c r="D17" s="80" t="str">
        <f>IF(-'#5 Cost Overview'!D30*1000=0,"",-'#5 Cost Overview'!D30*1000)</f>
        <v/>
      </c>
      <c r="E17" s="80" t="str">
        <f>IF(-'#5 Cost Overview'!E30*1000=0,"",-'#5 Cost Overview'!E30*1000)</f>
        <v/>
      </c>
      <c r="F17" s="80" t="str">
        <f>IF(-'#5 Cost Overview'!F30*1000=0,"",-'#5 Cost Overview'!F30*1000)</f>
        <v/>
      </c>
      <c r="G17" s="80" t="str">
        <f>IF(-'#5 Cost Overview'!G30*1000=0,"",-'#5 Cost Overview'!G30*1000)</f>
        <v/>
      </c>
      <c r="H17" s="80" t="str">
        <f>IF(-'#5 Cost Overview'!H30*1000=0,"",-'#5 Cost Overview'!H30*1000)</f>
        <v/>
      </c>
    </row>
    <row r="18" spans="1:8">
      <c r="A18" s="215" t="s">
        <v>193</v>
      </c>
      <c r="B18" s="89" t="s">
        <v>194</v>
      </c>
      <c r="C18" s="80"/>
      <c r="D18" s="80" t="str">
        <f>IF(('#5 Cost Overview'!D14+'#5 Cost Overview'!D26)*(1-'#5 Cost Overview'!$B$8)*1000=0,"",('#5 Cost Overview'!D14+'#5 Cost Overview'!D26)*(1-'#5 Cost Overview'!$B$8)*1000)</f>
        <v/>
      </c>
      <c r="E18" s="80" t="str">
        <f>IF(('#5 Cost Overview'!E14+'#5 Cost Overview'!E26)*(1-'#5 Cost Overview'!$B$8)*1000=0,"",('#5 Cost Overview'!E14+'#5 Cost Overview'!E26)*(1-'#5 Cost Overview'!$B$8)*1000)</f>
        <v/>
      </c>
      <c r="F18" s="80" t="str">
        <f>IF(('#5 Cost Overview'!F14+'#5 Cost Overview'!F26)*(1-'#5 Cost Overview'!$B$8)*1000=0,"",('#5 Cost Overview'!F14+'#5 Cost Overview'!F26)*(1-'#5 Cost Overview'!$B$8)*1000)</f>
        <v/>
      </c>
      <c r="G18" s="80" t="str">
        <f>IF(('#5 Cost Overview'!G14+'#5 Cost Overview'!G26)*(1-'#5 Cost Overview'!$B$8)*1000=0,"",('#5 Cost Overview'!G14+'#5 Cost Overview'!G26)*(1-'#5 Cost Overview'!$B$8)*1000)</f>
        <v/>
      </c>
      <c r="H18" s="80" t="str">
        <f>IF(('#5 Cost Overview'!H14+'#5 Cost Overview'!H26)*(1-'#5 Cost Overview'!$B$8)*1000=0,"",('#5 Cost Overview'!H14+'#5 Cost Overview'!H26)*(1-'#5 Cost Overview'!$B$8)*1000)</f>
        <v/>
      </c>
    </row>
    <row r="19" spans="1:8">
      <c r="A19" s="215" t="s">
        <v>193</v>
      </c>
      <c r="B19" s="89" t="s">
        <v>188</v>
      </c>
      <c r="C19" s="80"/>
      <c r="D19" s="80" t="str">
        <f>IF('#5 Cost Overview'!D18*1000=0,"",'#5 Cost Overview'!D18*1000)</f>
        <v/>
      </c>
      <c r="E19" s="80" t="str">
        <f>IF('#5 Cost Overview'!E18*1000=0,"",'#5 Cost Overview'!E18*1000)</f>
        <v/>
      </c>
      <c r="F19" s="80" t="str">
        <f>IF('#5 Cost Overview'!F18*1000=0,"",'#5 Cost Overview'!F18*1000)</f>
        <v/>
      </c>
      <c r="G19" s="80" t="str">
        <f>IF('#5 Cost Overview'!G18*1000=0,"",'#5 Cost Overview'!G18*1000)</f>
        <v/>
      </c>
      <c r="H19" s="80" t="str">
        <f>IF('#5 Cost Overview'!H18*1000=0,"",'#5 Cost Overview'!H18*1000)</f>
        <v/>
      </c>
    </row>
  </sheetData>
  <mergeCells count="1">
    <mergeCell ref="A15:B15"/>
  </mergeCells>
  <pageMargins left="0.7" right="0.7" top="0.75" bottom="0.75" header="0.3" footer="0.3"/>
  <pageSetup paperSize="9" orientation="portrait" r:id="rId1"/>
  <customProperties>
    <customPr name="_pios_id" r:id="rId2"/>
  </customProperties>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M26"/>
  <sheetViews>
    <sheetView showGridLines="0" workbookViewId="0">
      <selection activeCell="B6" sqref="B6"/>
    </sheetView>
  </sheetViews>
  <sheetFormatPr defaultColWidth="8.5703125" defaultRowHeight="14.45"/>
  <cols>
    <col min="1" max="1" width="34" customWidth="1"/>
    <col min="2" max="2" width="34.42578125" customWidth="1"/>
    <col min="3" max="3" width="19.42578125" customWidth="1"/>
    <col min="39" max="39" width="9.28515625" customWidth="1"/>
  </cols>
  <sheetData>
    <row r="1" spans="1:39" s="73" customFormat="1">
      <c r="A1" s="73" t="s">
        <v>0</v>
      </c>
    </row>
    <row r="2" spans="1:39">
      <c r="A2" s="2"/>
      <c r="B2" s="1"/>
      <c r="C2" s="1"/>
      <c r="D2" s="2"/>
    </row>
    <row r="3" spans="1:39">
      <c r="A3" s="45" t="s">
        <v>195</v>
      </c>
      <c r="B3" s="45" t="s">
        <v>103</v>
      </c>
      <c r="C3" s="46" t="s">
        <v>196</v>
      </c>
      <c r="AM3" s="3" t="s">
        <v>197</v>
      </c>
    </row>
    <row r="4" spans="1:39" s="5" customFormat="1" ht="40.5" customHeight="1">
      <c r="A4" s="8" t="s">
        <v>197</v>
      </c>
      <c r="B4" s="8" t="s">
        <v>198</v>
      </c>
      <c r="C4" s="159"/>
      <c r="AM4" s="3" t="s">
        <v>199</v>
      </c>
    </row>
    <row r="5" spans="1:39" ht="19.5" customHeight="1">
      <c r="A5" s="8" t="s">
        <v>199</v>
      </c>
      <c r="B5" s="6"/>
      <c r="C5" s="160">
        <v>30000</v>
      </c>
      <c r="AM5" s="3" t="s">
        <v>200</v>
      </c>
    </row>
    <row r="6" spans="1:39">
      <c r="A6" s="8" t="s">
        <v>200</v>
      </c>
      <c r="B6" s="6"/>
      <c r="C6" s="160"/>
      <c r="AM6" s="3" t="s">
        <v>95</v>
      </c>
    </row>
    <row r="7" spans="1:39">
      <c r="A7" s="8" t="s">
        <v>95</v>
      </c>
      <c r="B7" s="6"/>
      <c r="C7" s="160"/>
    </row>
    <row r="8" spans="1:39">
      <c r="A8" s="8"/>
      <c r="B8" s="6"/>
      <c r="C8" s="160"/>
      <c r="AM8" s="9"/>
    </row>
    <row r="9" spans="1:39">
      <c r="A9" s="8"/>
      <c r="B9" s="6"/>
      <c r="C9" s="160"/>
    </row>
    <row r="10" spans="1:39">
      <c r="A10" s="8"/>
      <c r="B10" s="6"/>
      <c r="C10" s="160"/>
    </row>
    <row r="11" spans="1:39">
      <c r="A11" s="8"/>
      <c r="B11" s="6"/>
      <c r="C11" s="160"/>
    </row>
    <row r="12" spans="1:39">
      <c r="A12" s="8"/>
      <c r="B12" s="6"/>
      <c r="C12" s="160"/>
    </row>
    <row r="13" spans="1:39">
      <c r="A13" s="8"/>
      <c r="B13" s="6"/>
      <c r="C13" s="160"/>
    </row>
    <row r="14" spans="1:39">
      <c r="A14" s="8"/>
      <c r="B14" s="6"/>
      <c r="C14" s="160"/>
    </row>
    <row r="15" spans="1:39">
      <c r="A15" s="8"/>
      <c r="B15" s="6"/>
      <c r="C15" s="160"/>
    </row>
    <row r="16" spans="1:39">
      <c r="A16" s="8"/>
      <c r="B16" s="6"/>
      <c r="C16" s="160"/>
    </row>
    <row r="17" spans="1:3">
      <c r="A17" s="8"/>
      <c r="B17" s="6"/>
      <c r="C17" s="160"/>
    </row>
    <row r="18" spans="1:3">
      <c r="A18" s="8"/>
      <c r="B18" s="6"/>
      <c r="C18" s="160"/>
    </row>
    <row r="19" spans="1:3">
      <c r="A19" s="8"/>
      <c r="B19" s="6"/>
      <c r="C19" s="160"/>
    </row>
    <row r="20" spans="1:3">
      <c r="A20" s="8"/>
      <c r="B20" s="6"/>
      <c r="C20" s="160"/>
    </row>
    <row r="21" spans="1:3">
      <c r="A21" s="8"/>
      <c r="B21" s="6"/>
      <c r="C21" s="160"/>
    </row>
    <row r="22" spans="1:3">
      <c r="A22" s="8"/>
      <c r="B22" s="6"/>
      <c r="C22" s="160"/>
    </row>
    <row r="23" spans="1:3">
      <c r="A23" s="8"/>
      <c r="B23" s="6"/>
      <c r="C23" s="160"/>
    </row>
    <row r="24" spans="1:3">
      <c r="A24" s="8"/>
      <c r="B24" s="6"/>
      <c r="C24" s="160"/>
    </row>
    <row r="25" spans="1:3">
      <c r="A25" s="8"/>
      <c r="B25" s="6"/>
      <c r="C25" s="160"/>
    </row>
    <row r="26" spans="1:3">
      <c r="A26" s="325" t="s">
        <v>201</v>
      </c>
      <c r="B26" s="325"/>
      <c r="C26" s="177">
        <f>SUM(C4:C25)</f>
        <v>30000</v>
      </c>
    </row>
  </sheetData>
  <mergeCells count="1">
    <mergeCell ref="A26:B26"/>
  </mergeCells>
  <dataValidations count="1">
    <dataValidation type="list" allowBlank="1" showInputMessage="1" showErrorMessage="1" sqref="A4:A25" xr:uid="{0C7E6F07-3FA5-41B6-B189-5D139C1B5082}">
      <formula1>$AM$3:$AM$9</formula1>
    </dataValidation>
  </dataValidations>
  <pageMargins left="0.7" right="0.7" top="0.75" bottom="0.75" header="0.3" footer="0.3"/>
  <customProperties>
    <customPr name="_pios_id" r:id="rId1"/>
  </customPropertie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U33"/>
  <sheetViews>
    <sheetView showGridLines="0" workbookViewId="0">
      <selection activeCell="E11" sqref="E11"/>
    </sheetView>
  </sheetViews>
  <sheetFormatPr defaultColWidth="8.5703125" defaultRowHeight="14.45"/>
  <cols>
    <col min="1" max="1" width="43.28515625" style="2" customWidth="1"/>
    <col min="2" max="3" width="15.7109375" style="1" customWidth="1"/>
    <col min="4" max="4" width="15.7109375" style="2" customWidth="1"/>
    <col min="5" max="8" width="15.7109375" customWidth="1"/>
    <col min="9" max="9" width="10.85546875" style="1" customWidth="1"/>
    <col min="10" max="10" width="10.85546875" customWidth="1"/>
    <col min="11" max="11" width="3" customWidth="1"/>
  </cols>
  <sheetData>
    <row r="1" spans="1:19" s="73" customFormat="1">
      <c r="A1" s="73" t="s">
        <v>0</v>
      </c>
      <c r="I1" s="161"/>
    </row>
    <row r="2" spans="1:19">
      <c r="C2" s="44" t="s">
        <v>202</v>
      </c>
      <c r="D2" s="44">
        <f>Frontpage!$B$23</f>
        <v>2026</v>
      </c>
      <c r="E2" s="44">
        <f>D2+1</f>
        <v>2027</v>
      </c>
      <c r="F2" s="44">
        <f t="shared" ref="F2:H2" si="0">E2+1</f>
        <v>2028</v>
      </c>
      <c r="G2" s="44">
        <f t="shared" si="0"/>
        <v>2029</v>
      </c>
      <c r="H2" s="44">
        <f t="shared" si="0"/>
        <v>2030</v>
      </c>
    </row>
    <row r="3" spans="1:19">
      <c r="A3" s="2" t="s">
        <v>132</v>
      </c>
      <c r="C3" s="211">
        <f t="shared" ref="C3:H3" ca="1" si="1">C14+C18+C26</f>
        <v>30004.799999999999</v>
      </c>
      <c r="D3" s="162">
        <f t="shared" si="1"/>
        <v>30004.6</v>
      </c>
      <c r="E3" s="162">
        <f t="shared" si="1"/>
        <v>0.2</v>
      </c>
      <c r="F3" s="162">
        <f t="shared" si="1"/>
        <v>0</v>
      </c>
      <c r="G3" s="162">
        <f t="shared" si="1"/>
        <v>0</v>
      </c>
      <c r="H3" s="162">
        <f t="shared" si="1"/>
        <v>0</v>
      </c>
      <c r="I3" s="1" t="str">
        <f ca="1">IF(SUM(D3:H3)=C3,"OK","Not OK")</f>
        <v>OK</v>
      </c>
    </row>
    <row r="4" spans="1:19">
      <c r="A4" s="2" t="s">
        <v>133</v>
      </c>
      <c r="C4" s="211">
        <f>SUM(D4:H4)</f>
        <v>0</v>
      </c>
      <c r="D4" s="162">
        <f>D30</f>
        <v>0</v>
      </c>
      <c r="E4" s="162">
        <f t="shared" ref="E4:H4" si="2">E30</f>
        <v>0</v>
      </c>
      <c r="F4" s="162">
        <f t="shared" si="2"/>
        <v>0</v>
      </c>
      <c r="G4" s="162">
        <f t="shared" si="2"/>
        <v>0</v>
      </c>
      <c r="H4" s="162">
        <f t="shared" si="2"/>
        <v>0</v>
      </c>
    </row>
    <row r="5" spans="1:19">
      <c r="A5" s="2" t="s">
        <v>203</v>
      </c>
      <c r="C5" s="211">
        <f t="shared" ref="C5:H5" ca="1" si="3">SUM(C3:C4)</f>
        <v>30004.799999999999</v>
      </c>
      <c r="D5" s="162">
        <f t="shared" si="3"/>
        <v>30004.6</v>
      </c>
      <c r="E5" s="162">
        <f t="shared" si="3"/>
        <v>0.2</v>
      </c>
      <c r="F5" s="162">
        <f t="shared" si="3"/>
        <v>0</v>
      </c>
      <c r="G5" s="162">
        <f t="shared" si="3"/>
        <v>0</v>
      </c>
      <c r="H5" s="162">
        <f t="shared" si="3"/>
        <v>0</v>
      </c>
    </row>
    <row r="8" spans="1:19">
      <c r="A8" s="10" t="s">
        <v>204</v>
      </c>
      <c r="B8" s="163">
        <v>1</v>
      </c>
      <c r="C8" s="326" t="str">
        <f ca="1">IF(C14=0,"",IF(AND(B8&lt;&gt;1,C14*(1-$B$8)&lt;10),"  ← The project is too small to be capitalized - please change the OPEX SHARE in cell B8 to 100%",""))</f>
        <v/>
      </c>
      <c r="D8" s="327"/>
      <c r="E8" s="327"/>
      <c r="F8" s="327"/>
      <c r="G8" s="327"/>
      <c r="H8" s="327"/>
    </row>
    <row r="9" spans="1:19">
      <c r="L9" s="3"/>
    </row>
    <row r="10" spans="1:19" s="4" customFormat="1" ht="29.1">
      <c r="A10" s="43" t="s">
        <v>205</v>
      </c>
      <c r="B10" s="44" t="s">
        <v>206</v>
      </c>
      <c r="C10" s="44" t="s">
        <v>207</v>
      </c>
      <c r="D10" s="44">
        <f>Frontpage!$B$23</f>
        <v>2026</v>
      </c>
      <c r="E10" s="44">
        <f>D10+1</f>
        <v>2027</v>
      </c>
      <c r="F10" s="44">
        <f t="shared" ref="F10:H10" si="4">E10+1</f>
        <v>2028</v>
      </c>
      <c r="G10" s="44">
        <f t="shared" si="4"/>
        <v>2029</v>
      </c>
      <c r="H10" s="44">
        <f t="shared" si="4"/>
        <v>2030</v>
      </c>
      <c r="I10" s="83" t="s">
        <v>208</v>
      </c>
      <c r="J10" s="82" t="s">
        <v>209</v>
      </c>
      <c r="M10" s="4" t="s">
        <v>84</v>
      </c>
      <c r="N10" s="4" t="s">
        <v>210</v>
      </c>
      <c r="S10" s="55"/>
    </row>
    <row r="11" spans="1:19">
      <c r="A11" s="6" t="s">
        <v>211</v>
      </c>
      <c r="B11" s="80">
        <f>('#1 Resource Estimates'!B51*'#2 Resource Cost Assumptions'!B10)</f>
        <v>45.2</v>
      </c>
      <c r="C11" s="164">
        <f>ROUND(((B11*'#2 Resource Cost Assumptions'!B17*'#2 Resource Cost Assumptions'!B6)+(B11*'#2 Resource Cost Assumptions'!B18*'#2 Resource Cost Assumptions'!B7))/1000,1)</f>
        <v>3.2</v>
      </c>
      <c r="D11" s="165">
        <v>3</v>
      </c>
      <c r="E11" s="165">
        <v>0.2</v>
      </c>
      <c r="G11" s="165"/>
      <c r="H11" s="165"/>
      <c r="I11" s="1" t="str">
        <f>IF(SUM(D11:H11)=C11,"OK","Not OK")</f>
        <v>OK</v>
      </c>
      <c r="J11" s="166">
        <f>C11-SUM(D11:H11)</f>
        <v>0</v>
      </c>
      <c r="K11" s="167"/>
      <c r="M11" t="s">
        <v>90</v>
      </c>
      <c r="N11" t="s">
        <v>212</v>
      </c>
    </row>
    <row r="12" spans="1:19">
      <c r="A12" s="6" t="s">
        <v>213</v>
      </c>
      <c r="B12" s="80">
        <f>('#1 Resource Estimates'!B51*SUM('#2 Resource Cost Assumptions'!B11:B13))</f>
        <v>0</v>
      </c>
      <c r="C12" s="164">
        <f>IFERROR(ROUND(((B12*'#2 Resource Cost Assumptions'!B19*('#2 Resource Cost Assumptions'!B11/SUM('#2 Resource Cost Assumptions'!$B$11:$B$13)))+(B12*'#2 Resource Cost Assumptions'!B20*('#2 Resource Cost Assumptions'!B12/SUM('#2 Resource Cost Assumptions'!$B$11:$B$13)))+(B12*'#2 Resource Cost Assumptions'!B21*('#2 Resource Cost Assumptions'!B13/SUM('#2 Resource Cost Assumptions'!$B$11:$B$13))))/1000,1),0)</f>
        <v>0</v>
      </c>
      <c r="D12" s="165"/>
      <c r="E12" s="165"/>
      <c r="F12" s="165"/>
      <c r="G12" s="165"/>
      <c r="H12" s="165"/>
      <c r="I12" s="1" t="str">
        <f>IF(SUM(D12:H12)=C12,"OK","Not OK")</f>
        <v>OK</v>
      </c>
      <c r="J12" s="166">
        <f t="shared" ref="J12:J14" si="5">C12-SUM(D12:H12)</f>
        <v>0</v>
      </c>
      <c r="K12" s="167"/>
    </row>
    <row r="13" spans="1:19" ht="15" customHeight="1">
      <c r="A13" s="6" t="s">
        <v>214</v>
      </c>
      <c r="B13" s="80">
        <f ca="1">'#1 Resource Estimates'!B52</f>
        <v>22.599999999999994</v>
      </c>
      <c r="C13" s="164">
        <f ca="1">ROUND(((B13*'#2 Resource Cost Assumptions'!$B$23)/1000),1)</f>
        <v>1.6</v>
      </c>
      <c r="D13" s="165">
        <v>1.6</v>
      </c>
      <c r="E13" s="165"/>
      <c r="F13" s="165"/>
      <c r="G13" s="165"/>
      <c r="H13" s="165"/>
      <c r="I13" s="1" t="str">
        <f ca="1">IF(SUM(D13:H13)=C13,"OK","Not OK")</f>
        <v>OK</v>
      </c>
      <c r="J13" s="166">
        <f t="shared" ca="1" si="5"/>
        <v>0</v>
      </c>
      <c r="K13" s="167"/>
      <c r="L13" t="s">
        <v>215</v>
      </c>
      <c r="O13" t="str">
        <f ca="1">IF($C$3&gt;500,"Yes","No")</f>
        <v>Yes</v>
      </c>
    </row>
    <row r="14" spans="1:19" s="3" customFormat="1">
      <c r="A14" s="7" t="s">
        <v>216</v>
      </c>
      <c r="B14" s="90">
        <f ca="1">SUM(B11:B13)</f>
        <v>67.8</v>
      </c>
      <c r="C14" s="79">
        <f ca="1">ROUND(SUM(C11:C13),1)</f>
        <v>4.8</v>
      </c>
      <c r="D14" s="79">
        <f t="shared" ref="D14:H14" si="6">ROUND(SUM(D11:D13),1)</f>
        <v>4.5999999999999996</v>
      </c>
      <c r="E14" s="79">
        <f>ROUND(SUM(E11:E13),1)</f>
        <v>0.2</v>
      </c>
      <c r="F14" s="79">
        <f t="shared" si="6"/>
        <v>0</v>
      </c>
      <c r="G14" s="79">
        <f t="shared" si="6"/>
        <v>0</v>
      </c>
      <c r="H14" s="79">
        <f t="shared" si="6"/>
        <v>0</v>
      </c>
      <c r="I14" s="1" t="str">
        <f t="shared" ref="I14" ca="1" si="7">IF(SUM(D14:H14)=C14,"OK","Not OK")</f>
        <v>OK</v>
      </c>
      <c r="J14" s="166">
        <f t="shared" ca="1" si="5"/>
        <v>0</v>
      </c>
      <c r="K14" s="167"/>
    </row>
    <row r="15" spans="1:19">
      <c r="B15" s="166"/>
      <c r="C15" s="166"/>
      <c r="D15" s="168"/>
      <c r="E15" s="167"/>
      <c r="F15" s="167"/>
      <c r="G15" s="167"/>
      <c r="H15" s="167"/>
      <c r="J15" s="1"/>
    </row>
    <row r="16" spans="1:19">
      <c r="A16" s="87" t="s">
        <v>188</v>
      </c>
      <c r="B16" s="223" t="s">
        <v>103</v>
      </c>
      <c r="C16" s="78" t="s">
        <v>207</v>
      </c>
      <c r="D16" s="44">
        <f>Frontpage!$B$23</f>
        <v>2026</v>
      </c>
      <c r="E16" s="44">
        <f>D16+1</f>
        <v>2027</v>
      </c>
      <c r="F16" s="44">
        <f t="shared" ref="F16:H16" si="8">E16+1</f>
        <v>2028</v>
      </c>
      <c r="G16" s="44">
        <f t="shared" si="8"/>
        <v>2029</v>
      </c>
      <c r="H16" s="44">
        <f t="shared" si="8"/>
        <v>2030</v>
      </c>
      <c r="J16" s="1"/>
    </row>
    <row r="17" spans="1:21" ht="57.6" customHeight="1">
      <c r="A17" s="169" t="s">
        <v>217</v>
      </c>
      <c r="B17" s="170" t="s">
        <v>218</v>
      </c>
      <c r="C17" s="170"/>
      <c r="D17" s="171"/>
      <c r="E17" s="171"/>
      <c r="F17" s="171"/>
      <c r="G17" s="171"/>
      <c r="H17" s="171"/>
      <c r="I17" s="81" t="str">
        <f t="shared" ref="I17:I18" si="9">IF(SUM(D17:H17)=C17,"OK","Not OK")</f>
        <v>OK</v>
      </c>
      <c r="J17" s="172">
        <f t="shared" ref="J17:J18" si="10">C17-SUM(D17:H17)</f>
        <v>0</v>
      </c>
      <c r="K17" s="167"/>
      <c r="L17" s="333" t="s">
        <v>219</v>
      </c>
      <c r="M17" s="333"/>
      <c r="N17" s="333"/>
      <c r="O17" s="333"/>
      <c r="P17" s="333"/>
      <c r="Q17" s="333"/>
      <c r="R17" s="333"/>
      <c r="S17" s="333"/>
      <c r="T17" s="333"/>
      <c r="U17" s="333"/>
    </row>
    <row r="18" spans="1:21">
      <c r="A18" s="328" t="s">
        <v>220</v>
      </c>
      <c r="B18" s="329"/>
      <c r="C18" s="91">
        <f>ROUND(SUM(C17),1)</f>
        <v>0</v>
      </c>
      <c r="D18" s="91">
        <f t="shared" ref="D18:H18" si="11">ROUND(SUM(D17),1)</f>
        <v>0</v>
      </c>
      <c r="E18" s="91">
        <f t="shared" si="11"/>
        <v>0</v>
      </c>
      <c r="F18" s="91">
        <f t="shared" si="11"/>
        <v>0</v>
      </c>
      <c r="G18" s="91">
        <f t="shared" si="11"/>
        <v>0</v>
      </c>
      <c r="H18" s="91">
        <f t="shared" si="11"/>
        <v>0</v>
      </c>
      <c r="I18" s="1" t="str">
        <f t="shared" si="9"/>
        <v>OK</v>
      </c>
      <c r="J18" s="166">
        <f t="shared" si="10"/>
        <v>0</v>
      </c>
      <c r="K18" s="167"/>
      <c r="L18" s="333"/>
      <c r="M18" s="333"/>
      <c r="N18" s="333"/>
      <c r="O18" s="333"/>
      <c r="P18" s="333"/>
      <c r="Q18" s="333"/>
      <c r="R18" s="333"/>
      <c r="S18" s="333"/>
      <c r="T18" s="333"/>
      <c r="U18" s="333"/>
    </row>
    <row r="19" spans="1:21">
      <c r="B19" s="166"/>
      <c r="C19" s="166"/>
      <c r="D19" s="168"/>
      <c r="E19" s="167"/>
      <c r="F19" s="167"/>
      <c r="G19" s="167"/>
      <c r="H19" s="167"/>
      <c r="J19" s="1"/>
      <c r="L19" s="333"/>
      <c r="M19" s="333"/>
      <c r="N19" s="333"/>
      <c r="O19" s="333"/>
      <c r="P19" s="333"/>
      <c r="Q19" s="333"/>
      <c r="R19" s="333"/>
      <c r="S19" s="333"/>
      <c r="T19" s="333"/>
      <c r="U19" s="333"/>
    </row>
    <row r="20" spans="1:21">
      <c r="A20" s="330" t="s">
        <v>221</v>
      </c>
      <c r="B20" s="331"/>
      <c r="C20" s="78" t="s">
        <v>207</v>
      </c>
      <c r="D20" s="44">
        <f>Frontpage!$B$23</f>
        <v>2026</v>
      </c>
      <c r="E20" s="44">
        <f>D20+1</f>
        <v>2027</v>
      </c>
      <c r="F20" s="44">
        <f t="shared" ref="F20:H20" si="12">E20+1</f>
        <v>2028</v>
      </c>
      <c r="G20" s="44">
        <f t="shared" si="12"/>
        <v>2029</v>
      </c>
      <c r="H20" s="44">
        <f t="shared" si="12"/>
        <v>2030</v>
      </c>
      <c r="I20" s="83" t="s">
        <v>208</v>
      </c>
      <c r="J20" s="1"/>
      <c r="L20" s="333"/>
      <c r="M20" s="333"/>
      <c r="N20" s="333"/>
      <c r="O20" s="333"/>
      <c r="P20" s="333"/>
      <c r="Q20" s="333"/>
      <c r="R20" s="333"/>
      <c r="S20" s="333"/>
      <c r="T20" s="333"/>
      <c r="U20" s="333"/>
    </row>
    <row r="21" spans="1:21">
      <c r="A21" s="334" t="s">
        <v>197</v>
      </c>
      <c r="B21" s="336"/>
      <c r="C21" s="79">
        <f>ROUND(SUMIF('#4 Other Costs'!$A$4:$A$25,$A21,'#4 Other Costs'!$C$4:$C$25),1)</f>
        <v>0</v>
      </c>
      <c r="D21" s="71"/>
      <c r="E21" s="71"/>
      <c r="F21" s="71"/>
      <c r="G21" s="71"/>
      <c r="H21" s="71"/>
      <c r="I21" s="1" t="str">
        <f t="shared" ref="I21:I26" si="13">IF(SUM(D21:H21)=C21,"OK","Not OK")</f>
        <v>OK</v>
      </c>
      <c r="J21" s="166">
        <f t="shared" ref="J21:J26" si="14">C21-SUM(D21:H21)</f>
        <v>0</v>
      </c>
      <c r="K21" s="167"/>
      <c r="L21" s="333"/>
      <c r="M21" s="333"/>
      <c r="N21" s="333"/>
      <c r="O21" s="333"/>
      <c r="P21" s="333"/>
      <c r="Q21" s="333"/>
      <c r="R21" s="333"/>
      <c r="S21" s="333"/>
      <c r="T21" s="333"/>
      <c r="U21" s="333"/>
    </row>
    <row r="22" spans="1:21">
      <c r="A22" s="334" t="s">
        <v>199</v>
      </c>
      <c r="B22" s="336"/>
      <c r="C22" s="79">
        <f>ROUND(SUMIF('#4 Other Costs'!$A$4:$A$25,$A22,'#4 Other Costs'!$C$4:$C$25),1)</f>
        <v>30000</v>
      </c>
      <c r="D22" s="71">
        <v>30000</v>
      </c>
      <c r="E22" s="71"/>
      <c r="F22" s="71"/>
      <c r="G22" s="71"/>
      <c r="H22" s="71"/>
      <c r="I22" s="1" t="str">
        <f>IF(SUM(D22:H22)=C22,"OK","Not OK")</f>
        <v>OK</v>
      </c>
      <c r="J22" s="166">
        <f>C22-SUM(D22:H22)</f>
        <v>0</v>
      </c>
      <c r="K22" s="167"/>
      <c r="L22" s="333"/>
      <c r="M22" s="333"/>
      <c r="N22" s="333"/>
      <c r="O22" s="333"/>
      <c r="P22" s="333"/>
      <c r="Q22" s="333"/>
      <c r="R22" s="333"/>
      <c r="S22" s="333"/>
      <c r="T22" s="333"/>
      <c r="U22" s="333"/>
    </row>
    <row r="23" spans="1:21">
      <c r="A23" s="334" t="s">
        <v>200</v>
      </c>
      <c r="B23" s="336"/>
      <c r="C23" s="79">
        <f>ROUND(SUMIF('#4 Other Costs'!$A$4:$A$25,$A23,'#4 Other Costs'!$C$4:$C$25),1)</f>
        <v>0</v>
      </c>
      <c r="D23" s="71"/>
      <c r="E23" s="71"/>
      <c r="F23" s="71"/>
      <c r="G23" s="71"/>
      <c r="H23" s="71"/>
      <c r="I23" s="1" t="str">
        <f t="shared" si="13"/>
        <v>OK</v>
      </c>
      <c r="J23" s="166">
        <f t="shared" si="14"/>
        <v>0</v>
      </c>
      <c r="K23" s="167"/>
      <c r="L23" s="333"/>
      <c r="M23" s="333"/>
      <c r="N23" s="333"/>
      <c r="O23" s="333"/>
      <c r="P23" s="333"/>
      <c r="Q23" s="333"/>
      <c r="R23" s="333"/>
      <c r="S23" s="333"/>
      <c r="T23" s="333"/>
      <c r="U23" s="333"/>
    </row>
    <row r="24" spans="1:21">
      <c r="A24" s="334" t="s">
        <v>95</v>
      </c>
      <c r="B24" s="336"/>
      <c r="C24" s="79">
        <f>ROUND(SUMIF('#4 Other Costs'!$A$4:$A$25,$A24,'#4 Other Costs'!$C$4:$C$25),1)</f>
        <v>0</v>
      </c>
      <c r="D24" s="71"/>
      <c r="E24" s="71"/>
      <c r="F24" s="71"/>
      <c r="G24" s="71"/>
      <c r="H24" s="71"/>
      <c r="I24" s="1" t="str">
        <f t="shared" si="13"/>
        <v>OK</v>
      </c>
      <c r="J24" s="166">
        <f t="shared" si="14"/>
        <v>0</v>
      </c>
      <c r="K24" s="167"/>
      <c r="L24" s="333"/>
      <c r="M24" s="333"/>
      <c r="N24" s="333"/>
      <c r="O24" s="333"/>
      <c r="P24" s="333"/>
      <c r="Q24" s="333"/>
      <c r="R24" s="333"/>
      <c r="S24" s="333"/>
      <c r="T24" s="333"/>
      <c r="U24" s="333"/>
    </row>
    <row r="25" spans="1:21">
      <c r="A25" s="337" t="s">
        <v>222</v>
      </c>
      <c r="B25" s="338"/>
      <c r="C25" s="79">
        <f>'#3 IT Services (OPS) cost'!G31</f>
        <v>0</v>
      </c>
      <c r="D25" s="79">
        <f>C25</f>
        <v>0</v>
      </c>
      <c r="E25" s="79"/>
      <c r="F25" s="79"/>
      <c r="G25" s="79"/>
      <c r="H25" s="79"/>
      <c r="I25" s="1" t="str">
        <f>IF(SUM(D25:H25)=C25,"OK","Not OK")</f>
        <v>OK</v>
      </c>
      <c r="J25" s="166">
        <f>C25-SUM(D25:H25)</f>
        <v>0</v>
      </c>
      <c r="K25" s="167"/>
      <c r="L25" s="333"/>
      <c r="M25" s="333"/>
      <c r="N25" s="333"/>
      <c r="O25" s="333"/>
      <c r="P25" s="333"/>
      <c r="Q25" s="333"/>
      <c r="R25" s="333"/>
      <c r="S25" s="333"/>
      <c r="T25" s="333"/>
      <c r="U25" s="333"/>
    </row>
    <row r="26" spans="1:21">
      <c r="A26" s="328" t="s">
        <v>223</v>
      </c>
      <c r="B26" s="329"/>
      <c r="C26" s="79">
        <f>ROUND(SUM(C21:C25),1)</f>
        <v>30000</v>
      </c>
      <c r="D26" s="79">
        <f t="shared" ref="D26:H26" si="15">ROUND(SUM(D21:D25),1)</f>
        <v>30000</v>
      </c>
      <c r="E26" s="79">
        <f t="shared" si="15"/>
        <v>0</v>
      </c>
      <c r="F26" s="79">
        <f t="shared" si="15"/>
        <v>0</v>
      </c>
      <c r="G26" s="79">
        <f t="shared" si="15"/>
        <v>0</v>
      </c>
      <c r="H26" s="79">
        <f t="shared" si="15"/>
        <v>0</v>
      </c>
      <c r="I26" s="1" t="str">
        <f t="shared" si="13"/>
        <v>OK</v>
      </c>
      <c r="J26" s="166">
        <f t="shared" si="14"/>
        <v>0</v>
      </c>
      <c r="K26" s="167"/>
    </row>
    <row r="27" spans="1:21">
      <c r="A27"/>
      <c r="B27" s="167"/>
      <c r="C27" s="167"/>
      <c r="D27" s="167"/>
      <c r="E27" s="167"/>
      <c r="F27" s="167"/>
      <c r="G27" s="167"/>
      <c r="H27" s="167"/>
    </row>
    <row r="28" spans="1:21">
      <c r="A28"/>
      <c r="B28" s="167"/>
      <c r="C28" s="167"/>
      <c r="D28" s="167"/>
      <c r="E28" s="167"/>
      <c r="F28" s="167"/>
      <c r="G28" s="167"/>
      <c r="H28" s="167"/>
    </row>
    <row r="29" spans="1:21">
      <c r="A29" s="330" t="s">
        <v>133</v>
      </c>
      <c r="B29" s="332"/>
      <c r="C29" s="331"/>
      <c r="D29" s="44">
        <f>Frontpage!$B$23</f>
        <v>2026</v>
      </c>
      <c r="E29" s="44">
        <f>D29+1</f>
        <v>2027</v>
      </c>
      <c r="F29" s="44">
        <f t="shared" ref="F29:H29" si="16">E29+1</f>
        <v>2028</v>
      </c>
      <c r="G29" s="44">
        <f t="shared" si="16"/>
        <v>2029</v>
      </c>
      <c r="H29" s="44">
        <f t="shared" si="16"/>
        <v>2030</v>
      </c>
    </row>
    <row r="30" spans="1:21">
      <c r="A30" s="334" t="s">
        <v>133</v>
      </c>
      <c r="B30" s="335"/>
      <c r="C30" s="336"/>
      <c r="D30" s="173">
        <f>'#3 IT Services (OPS) cost'!G32</f>
        <v>0</v>
      </c>
      <c r="E30" s="173">
        <f>'#3 IT Services (OPS) cost'!H32</f>
        <v>0</v>
      </c>
      <c r="F30" s="173">
        <f>'#3 IT Services (OPS) cost'!I32</f>
        <v>0</v>
      </c>
      <c r="G30" s="173">
        <f>'#3 IT Services (OPS) cost'!J32</f>
        <v>0</v>
      </c>
      <c r="H30" s="173">
        <f>'#3 IT Services (OPS) cost'!K32</f>
        <v>0</v>
      </c>
    </row>
    <row r="31" spans="1:21">
      <c r="A31"/>
      <c r="B31"/>
      <c r="C31"/>
    </row>
    <row r="32" spans="1:21">
      <c r="A32"/>
      <c r="B32"/>
      <c r="C32"/>
    </row>
    <row r="33" spans="1:2">
      <c r="A33"/>
      <c r="B33"/>
    </row>
  </sheetData>
  <mergeCells count="12">
    <mergeCell ref="L17:U25"/>
    <mergeCell ref="A30:C30"/>
    <mergeCell ref="A21:B21"/>
    <mergeCell ref="A22:B22"/>
    <mergeCell ref="A25:B25"/>
    <mergeCell ref="A23:B23"/>
    <mergeCell ref="A24:B24"/>
    <mergeCell ref="C8:H8"/>
    <mergeCell ref="A18:B18"/>
    <mergeCell ref="A20:B20"/>
    <mergeCell ref="A26:B26"/>
    <mergeCell ref="A29:C29"/>
  </mergeCells>
  <conditionalFormatting sqref="A27:H28">
    <cfRule type="containsText" dxfId="15" priority="28" operator="containsText" text="Not OK">
      <formula>NOT(ISERROR(SEARCH("Not OK",A27)))</formula>
    </cfRule>
    <cfRule type="containsText" dxfId="14" priority="29" operator="containsText" text="OK">
      <formula>NOT(ISERROR(SEARCH("OK",A27)))</formula>
    </cfRule>
    <cfRule type="containsText" dxfId="13" priority="30" operator="containsText" text="Not OK">
      <formula>NOT(ISERROR(SEARCH("Not OK",A27)))</formula>
    </cfRule>
  </conditionalFormatting>
  <conditionalFormatting sqref="B17:C17">
    <cfRule type="expression" dxfId="12" priority="8">
      <formula>$O$13="No"</formula>
    </cfRule>
    <cfRule type="expression" dxfId="11" priority="9">
      <formula>$O$13="Yes"</formula>
    </cfRule>
  </conditionalFormatting>
  <conditionalFormatting sqref="C8:H8">
    <cfRule type="cellIs" dxfId="10" priority="1" operator="equal">
      <formula>"  ← The project is too small to be capitalized - please change the OPEX SHARE in cell B8 to 100%"</formula>
    </cfRule>
  </conditionalFormatting>
  <conditionalFormatting sqref="I3 I11:I14 I17:I18 I21:I28">
    <cfRule type="containsText" dxfId="9" priority="33" operator="containsText" text="Not OK">
      <formula>NOT(ISERROR(SEARCH("Not OK",I3)))</formula>
    </cfRule>
  </conditionalFormatting>
  <conditionalFormatting sqref="I3:I5">
    <cfRule type="containsText" dxfId="8" priority="12" operator="containsText" text="Not OK">
      <formula>NOT(ISERROR(SEARCH("Not OK",I3)))</formula>
    </cfRule>
  </conditionalFormatting>
  <conditionalFormatting sqref="I4:I5">
    <cfRule type="containsText" dxfId="7" priority="10" operator="containsText" text="Not OK">
      <formula>NOT(ISERROR(SEARCH("Not OK",I4)))</formula>
    </cfRule>
    <cfRule type="containsText" dxfId="6" priority="11" operator="containsText" text="OK">
      <formula>NOT(ISERROR(SEARCH("OK",I4)))</formula>
    </cfRule>
  </conditionalFormatting>
  <conditionalFormatting sqref="I11:I14 I17:I18 I21:I28 I3">
    <cfRule type="containsText" dxfId="5" priority="32" operator="containsText" text="OK">
      <formula>NOT(ISERROR(SEARCH("OK",I3)))</formula>
    </cfRule>
  </conditionalFormatting>
  <conditionalFormatting sqref="I11:I14 I17:I18 I21:I28">
    <cfRule type="containsText" dxfId="4" priority="31" operator="containsText" text="Not OK">
      <formula>NOT(ISERROR(SEARCH("Not OK",I11)))</formula>
    </cfRule>
  </conditionalFormatting>
  <conditionalFormatting sqref="J11:J14 J21:J26">
    <cfRule type="cellIs" dxfId="3" priority="6" operator="notEqual">
      <formula>0</formula>
    </cfRule>
    <cfRule type="cellIs" dxfId="2" priority="7" operator="equal">
      <formula>0</formula>
    </cfRule>
  </conditionalFormatting>
  <conditionalFormatting sqref="J17:J18">
    <cfRule type="cellIs" dxfId="1" priority="4" operator="notEqual">
      <formula>0</formula>
    </cfRule>
    <cfRule type="cellIs" dxfId="0" priority="5" operator="equal">
      <formula>0</formula>
    </cfRule>
  </conditionalFormatting>
  <pageMargins left="0.7" right="0.7" top="0.75" bottom="0.75" header="0.3" footer="0.3"/>
  <pageSetup paperSize="9" orientation="portrait" r:id="rId1"/>
  <customProperties>
    <customPr name="_pios_id" r:id="rId2"/>
  </customProperties>
  <ignoredErrors>
    <ignoredError sqref="B12" formulaRange="1"/>
  </ignoredErrors>
  <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6A2DA-94B9-4F88-9D70-CC387802C849}">
  <sheetPr codeName="Sheet8">
    <tabColor theme="9" tint="0.59999389629810485"/>
  </sheetPr>
  <dimension ref="B2:F75"/>
  <sheetViews>
    <sheetView showGridLines="0" workbookViewId="0">
      <selection activeCell="B14" sqref="B14"/>
    </sheetView>
  </sheetViews>
  <sheetFormatPr defaultRowHeight="14.45"/>
  <cols>
    <col min="2" max="2" width="34.7109375" bestFit="1" customWidth="1"/>
    <col min="3" max="3" width="40.140625" bestFit="1" customWidth="1"/>
    <col min="4" max="4" width="18" bestFit="1" customWidth="1"/>
    <col min="5" max="5" width="14" bestFit="1" customWidth="1"/>
    <col min="6" max="6" width="18.85546875" bestFit="1" customWidth="1"/>
  </cols>
  <sheetData>
    <row r="2" spans="2:6" ht="40.5" customHeight="1">
      <c r="B2" s="339" t="s">
        <v>224</v>
      </c>
      <c r="C2" s="339"/>
      <c r="D2" s="339"/>
      <c r="E2" s="339"/>
      <c r="F2" s="339"/>
    </row>
    <row r="3" spans="2:6">
      <c r="B3" t="s">
        <v>225</v>
      </c>
      <c r="C3" s="2"/>
      <c r="D3" s="1"/>
      <c r="E3" s="1"/>
      <c r="F3" s="1"/>
    </row>
    <row r="4" spans="2:6">
      <c r="C4" s="2"/>
      <c r="D4" s="1"/>
      <c r="E4" s="1"/>
      <c r="F4" s="1"/>
    </row>
    <row r="5" spans="2:6">
      <c r="C5" s="2"/>
      <c r="D5" s="1"/>
      <c r="E5" s="1"/>
      <c r="F5" s="1"/>
    </row>
    <row r="6" spans="2:6" ht="15.95" thickBot="1">
      <c r="B6" s="11" t="s">
        <v>226</v>
      </c>
    </row>
    <row r="7" spans="2:6" ht="15.95" thickBot="1">
      <c r="B7" s="52" t="s">
        <v>227</v>
      </c>
      <c r="C7" s="53" t="s">
        <v>228</v>
      </c>
      <c r="D7" s="53" t="s">
        <v>229</v>
      </c>
      <c r="E7" s="54" t="s">
        <v>230</v>
      </c>
    </row>
    <row r="8" spans="2:6">
      <c r="B8" s="12" t="s">
        <v>231</v>
      </c>
      <c r="C8" s="13" t="s">
        <v>232</v>
      </c>
      <c r="D8" s="47">
        <v>1</v>
      </c>
      <c r="E8" s="72"/>
    </row>
    <row r="9" spans="2:6">
      <c r="B9" s="14" t="s">
        <v>233</v>
      </c>
      <c r="C9" t="s">
        <v>234</v>
      </c>
      <c r="D9" s="48">
        <v>1</v>
      </c>
      <c r="E9" s="72"/>
    </row>
    <row r="10" spans="2:6">
      <c r="B10" s="15" t="s">
        <v>235</v>
      </c>
      <c r="C10" t="s">
        <v>236</v>
      </c>
      <c r="D10" s="48">
        <v>1</v>
      </c>
      <c r="E10" s="72"/>
    </row>
    <row r="11" spans="2:6">
      <c r="B11" s="15" t="s">
        <v>237</v>
      </c>
      <c r="C11" t="s">
        <v>238</v>
      </c>
      <c r="D11" s="48">
        <v>1</v>
      </c>
      <c r="E11" s="72"/>
    </row>
    <row r="12" spans="2:6">
      <c r="B12" s="15" t="s">
        <v>239</v>
      </c>
      <c r="C12" t="s">
        <v>240</v>
      </c>
      <c r="D12" s="48">
        <v>1</v>
      </c>
      <c r="E12" s="72"/>
    </row>
    <row r="13" spans="2:6">
      <c r="B13" s="15" t="s">
        <v>241</v>
      </c>
      <c r="C13" t="s">
        <v>242</v>
      </c>
      <c r="D13" s="48" t="s">
        <v>243</v>
      </c>
      <c r="E13" s="72"/>
    </row>
    <row r="14" spans="2:6">
      <c r="B14" s="15" t="s">
        <v>244</v>
      </c>
      <c r="C14" t="s">
        <v>245</v>
      </c>
      <c r="D14" s="48" t="s">
        <v>246</v>
      </c>
      <c r="E14" s="72"/>
    </row>
    <row r="15" spans="2:6" ht="15" thickBot="1">
      <c r="B15" s="16" t="s">
        <v>247</v>
      </c>
      <c r="C15" s="17" t="s">
        <v>248</v>
      </c>
      <c r="D15" s="49">
        <v>5000</v>
      </c>
      <c r="E15" s="72"/>
    </row>
    <row r="16" spans="2:6">
      <c r="B16" s="18" t="s">
        <v>249</v>
      </c>
      <c r="C16" s="19"/>
      <c r="D16" s="19"/>
      <c r="E16" s="50">
        <f>E34+E46+E49</f>
        <v>0</v>
      </c>
    </row>
    <row r="17" spans="2:6" ht="15" thickBot="1">
      <c r="B17" s="20" t="s">
        <v>250</v>
      </c>
      <c r="C17" s="21"/>
      <c r="D17" s="21"/>
      <c r="E17" s="51">
        <f>E23+E28+F34+E37+E40+E43+F46+F49</f>
        <v>0</v>
      </c>
    </row>
    <row r="18" spans="2:6" ht="15" thickBot="1"/>
    <row r="19" spans="2:6" ht="15.95" thickBot="1">
      <c r="B19" s="22" t="s">
        <v>251</v>
      </c>
      <c r="C19" s="23" t="s">
        <v>228</v>
      </c>
      <c r="D19" s="24" t="s">
        <v>252</v>
      </c>
      <c r="E19" s="24" t="s">
        <v>253</v>
      </c>
      <c r="F19" s="3"/>
    </row>
    <row r="20" spans="2:6">
      <c r="B20" s="15" t="s">
        <v>254</v>
      </c>
      <c r="C20" s="25" t="s">
        <v>232</v>
      </c>
      <c r="D20" s="12">
        <v>13.8</v>
      </c>
      <c r="E20" s="26">
        <f>$D$35*D20</f>
        <v>0</v>
      </c>
    </row>
    <row r="21" spans="2:6">
      <c r="B21" s="15" t="s">
        <v>255</v>
      </c>
      <c r="C21" s="27" t="s">
        <v>232</v>
      </c>
      <c r="D21" s="15">
        <v>31.94</v>
      </c>
      <c r="E21" s="28">
        <f>$D$35*D21</f>
        <v>0</v>
      </c>
    </row>
    <row r="22" spans="2:6" ht="15" thickBot="1">
      <c r="B22" s="15" t="s">
        <v>256</v>
      </c>
      <c r="C22" s="29" t="s">
        <v>232</v>
      </c>
      <c r="D22" s="16">
        <v>4.4800000000000004</v>
      </c>
      <c r="E22" s="30">
        <f>$D$35*D22</f>
        <v>0</v>
      </c>
    </row>
    <row r="23" spans="2:6" ht="15" thickBot="1">
      <c r="B23" s="31" t="s">
        <v>70</v>
      </c>
      <c r="C23" s="32"/>
      <c r="D23" s="33"/>
      <c r="E23" s="34">
        <f>SUM(E20:E22)</f>
        <v>0</v>
      </c>
    </row>
    <row r="24" spans="2:6" ht="15" thickBot="1">
      <c r="B24" s="3"/>
      <c r="C24" s="3"/>
      <c r="D24" s="3"/>
      <c r="E24" s="35"/>
    </row>
    <row r="25" spans="2:6" ht="15.95" thickBot="1">
      <c r="B25" s="22" t="s">
        <v>257</v>
      </c>
      <c r="C25" s="23" t="s">
        <v>228</v>
      </c>
      <c r="D25" s="24" t="s">
        <v>252</v>
      </c>
      <c r="E25" s="24" t="s">
        <v>253</v>
      </c>
      <c r="F25" s="3"/>
    </row>
    <row r="26" spans="2:6">
      <c r="B26" s="15" t="s">
        <v>258</v>
      </c>
      <c r="C26" s="25" t="s">
        <v>232</v>
      </c>
      <c r="D26" s="12">
        <f>12*9.86</f>
        <v>118.32</v>
      </c>
      <c r="E26" s="26">
        <f>(E8-E9)*D26</f>
        <v>0</v>
      </c>
    </row>
    <row r="27" spans="2:6" ht="15" thickBot="1">
      <c r="B27" s="15" t="s">
        <v>259</v>
      </c>
      <c r="C27" s="29" t="s">
        <v>234</v>
      </c>
      <c r="D27" s="16">
        <f>12*36.03</f>
        <v>432.36</v>
      </c>
      <c r="E27" s="30">
        <f>E9*D27</f>
        <v>0</v>
      </c>
    </row>
    <row r="28" spans="2:6" ht="15" thickBot="1">
      <c r="B28" s="31" t="s">
        <v>70</v>
      </c>
      <c r="C28" s="32"/>
      <c r="D28" s="33"/>
      <c r="E28" s="34">
        <f>SUM(E26:E27)</f>
        <v>0</v>
      </c>
    </row>
    <row r="29" spans="2:6">
      <c r="B29" s="3"/>
      <c r="C29" s="3"/>
      <c r="D29" s="3"/>
      <c r="E29" s="35"/>
    </row>
    <row r="30" spans="2:6" ht="15" thickBot="1">
      <c r="B30" s="3"/>
      <c r="C30" s="3"/>
      <c r="D30" s="3"/>
      <c r="E30" s="35"/>
      <c r="F30" s="35"/>
    </row>
    <row r="31" spans="2:6" ht="15.95" thickBot="1">
      <c r="B31" s="22" t="s">
        <v>260</v>
      </c>
      <c r="C31" s="24" t="s">
        <v>228</v>
      </c>
      <c r="D31" s="24" t="s">
        <v>261</v>
      </c>
      <c r="E31" s="24" t="s">
        <v>262</v>
      </c>
      <c r="F31" s="36" t="s">
        <v>263</v>
      </c>
    </row>
    <row r="32" spans="2:6">
      <c r="B32" s="27" t="s">
        <v>264</v>
      </c>
      <c r="C32" t="s">
        <v>265</v>
      </c>
      <c r="D32">
        <v>790</v>
      </c>
      <c r="E32" s="37">
        <f>D32*E10</f>
        <v>0</v>
      </c>
      <c r="F32" s="28">
        <f>E32*0.17</f>
        <v>0</v>
      </c>
    </row>
    <row r="33" spans="2:6">
      <c r="B33" s="27" t="s">
        <v>266</v>
      </c>
      <c r="E33" s="37">
        <f>E32*0.15</f>
        <v>0</v>
      </c>
      <c r="F33" s="28">
        <f>E33*0.17</f>
        <v>0</v>
      </c>
    </row>
    <row r="34" spans="2:6" ht="15" thickBot="1">
      <c r="B34" s="38" t="s">
        <v>70</v>
      </c>
      <c r="C34" s="32"/>
      <c r="D34" s="32"/>
      <c r="E34" s="39">
        <f>SUM(E32:E33)</f>
        <v>0</v>
      </c>
      <c r="F34" s="40">
        <f>E34*0.17</f>
        <v>0</v>
      </c>
    </row>
    <row r="35" spans="2:6" ht="15" thickBot="1"/>
    <row r="36" spans="2:6" ht="15.95" thickBot="1">
      <c r="B36" s="22" t="s">
        <v>267</v>
      </c>
      <c r="C36" s="24" t="s">
        <v>228</v>
      </c>
      <c r="D36" s="24" t="s">
        <v>268</v>
      </c>
      <c r="E36" s="36" t="s">
        <v>253</v>
      </c>
    </row>
    <row r="37" spans="2:6" ht="15" thickBot="1">
      <c r="B37" s="29" t="s">
        <v>269</v>
      </c>
      <c r="C37" s="41" t="s">
        <v>238</v>
      </c>
      <c r="D37" s="17">
        <v>2.5499999999999998</v>
      </c>
      <c r="E37" s="30">
        <f>D37*E11</f>
        <v>0</v>
      </c>
    </row>
    <row r="38" spans="2:6" ht="15" thickBot="1"/>
    <row r="39" spans="2:6" ht="15.95" thickBot="1">
      <c r="B39" s="22" t="s">
        <v>270</v>
      </c>
      <c r="C39" s="24" t="s">
        <v>228</v>
      </c>
      <c r="D39" s="24" t="s">
        <v>271</v>
      </c>
      <c r="E39" s="36" t="s">
        <v>253</v>
      </c>
    </row>
    <row r="40" spans="2:6" ht="15" thickBot="1">
      <c r="B40" s="29" t="s">
        <v>272</v>
      </c>
      <c r="C40" s="41" t="s">
        <v>240</v>
      </c>
      <c r="D40" s="17">
        <v>6</v>
      </c>
      <c r="E40" s="30">
        <f>E12*D40</f>
        <v>0</v>
      </c>
    </row>
    <row r="41" spans="2:6" ht="15" thickBot="1"/>
    <row r="42" spans="2:6" ht="15.95" thickBot="1">
      <c r="B42" s="22" t="s">
        <v>273</v>
      </c>
      <c r="C42" s="24" t="s">
        <v>228</v>
      </c>
      <c r="D42" s="24" t="s">
        <v>274</v>
      </c>
      <c r="E42" s="36" t="s">
        <v>253</v>
      </c>
    </row>
    <row r="43" spans="2:6" ht="15" thickBot="1">
      <c r="B43" s="29" t="s">
        <v>272</v>
      </c>
      <c r="C43" s="41" t="s">
        <v>275</v>
      </c>
      <c r="D43" s="42">
        <v>78158</v>
      </c>
      <c r="E43" s="30">
        <f>D43*E13</f>
        <v>0</v>
      </c>
    </row>
    <row r="44" spans="2:6" ht="15" thickBot="1"/>
    <row r="45" spans="2:6" ht="15.95" thickBot="1">
      <c r="B45" s="22" t="s">
        <v>244</v>
      </c>
      <c r="C45" s="24" t="s">
        <v>228</v>
      </c>
      <c r="D45" s="24" t="s">
        <v>274</v>
      </c>
      <c r="E45" s="36" t="s">
        <v>262</v>
      </c>
      <c r="F45" s="36" t="s">
        <v>263</v>
      </c>
    </row>
    <row r="46" spans="2:6" ht="15" thickBot="1">
      <c r="B46" s="29"/>
      <c r="C46" s="41" t="s">
        <v>245</v>
      </c>
      <c r="D46" s="42">
        <v>20240</v>
      </c>
      <c r="E46" s="30">
        <f>E14*D46</f>
        <v>0</v>
      </c>
      <c r="F46" s="40">
        <f>E46*0.17</f>
        <v>0</v>
      </c>
    </row>
    <row r="47" spans="2:6" ht="15" thickBot="1"/>
    <row r="48" spans="2:6" ht="15.95" thickBot="1">
      <c r="B48" s="22" t="s">
        <v>247</v>
      </c>
      <c r="C48" s="24" t="s">
        <v>228</v>
      </c>
      <c r="D48" s="24" t="s">
        <v>274</v>
      </c>
      <c r="E48" s="36" t="s">
        <v>262</v>
      </c>
      <c r="F48" s="36" t="s">
        <v>263</v>
      </c>
    </row>
    <row r="49" spans="2:6" ht="15" thickBot="1">
      <c r="B49" s="29"/>
      <c r="C49" s="17" t="s">
        <v>248</v>
      </c>
      <c r="D49" s="42">
        <v>58190</v>
      </c>
      <c r="E49" s="30">
        <f>E15*D49</f>
        <v>0</v>
      </c>
      <c r="F49" s="40">
        <f>E49*0.17</f>
        <v>0</v>
      </c>
    </row>
    <row r="50" spans="2:6">
      <c r="C50" s="2"/>
      <c r="D50" s="1"/>
      <c r="E50" s="1"/>
      <c r="F50" s="1"/>
    </row>
    <row r="51" spans="2:6">
      <c r="C51" s="2"/>
      <c r="D51" s="1"/>
      <c r="E51" s="1"/>
      <c r="F51" s="1"/>
    </row>
    <row r="52" spans="2:6">
      <c r="C52" s="2"/>
      <c r="D52" s="1"/>
      <c r="E52" s="1"/>
      <c r="F52" s="1"/>
    </row>
    <row r="53" spans="2:6">
      <c r="C53" s="2"/>
      <c r="D53" s="1"/>
      <c r="E53" s="1"/>
      <c r="F53" s="1"/>
    </row>
    <row r="54" spans="2:6">
      <c r="C54" s="2"/>
      <c r="D54" s="1"/>
      <c r="E54" s="1"/>
      <c r="F54" s="1"/>
    </row>
    <row r="55" spans="2:6">
      <c r="C55" s="2"/>
      <c r="D55" s="1"/>
      <c r="E55" s="1"/>
      <c r="F55" s="1"/>
    </row>
    <row r="56" spans="2:6">
      <c r="C56" s="2"/>
      <c r="D56" s="1"/>
      <c r="E56" s="1"/>
      <c r="F56" s="1"/>
    </row>
    <row r="57" spans="2:6">
      <c r="C57" s="2"/>
      <c r="D57" s="1"/>
      <c r="E57" s="1"/>
      <c r="F57" s="1"/>
    </row>
    <row r="58" spans="2:6">
      <c r="C58" s="2"/>
      <c r="D58" s="1"/>
      <c r="E58" s="1"/>
      <c r="F58" s="1"/>
    </row>
    <row r="59" spans="2:6">
      <c r="C59" s="2"/>
      <c r="D59" s="1"/>
      <c r="E59" s="1"/>
      <c r="F59" s="1"/>
    </row>
    <row r="60" spans="2:6">
      <c r="C60" s="2"/>
      <c r="D60" s="1"/>
      <c r="E60" s="1"/>
      <c r="F60" s="1"/>
    </row>
    <row r="61" spans="2:6">
      <c r="C61" s="2"/>
      <c r="D61" s="1"/>
      <c r="E61" s="1"/>
      <c r="F61" s="1"/>
    </row>
    <row r="62" spans="2:6">
      <c r="C62" s="2"/>
      <c r="D62" s="1"/>
      <c r="E62" s="1"/>
      <c r="F62" s="1"/>
    </row>
    <row r="63" spans="2:6">
      <c r="C63" s="2"/>
      <c r="D63" s="1"/>
      <c r="E63" s="1"/>
      <c r="F63" s="1"/>
    </row>
    <row r="64" spans="2:6">
      <c r="C64" s="2"/>
      <c r="D64" s="1"/>
      <c r="E64" s="1"/>
      <c r="F64" s="1"/>
    </row>
    <row r="65" spans="3:6">
      <c r="C65" s="2"/>
      <c r="D65" s="1"/>
      <c r="E65" s="1"/>
      <c r="F65" s="1"/>
    </row>
    <row r="66" spans="3:6">
      <c r="C66" s="2"/>
      <c r="D66" s="1"/>
      <c r="E66" s="1"/>
      <c r="F66" s="1"/>
    </row>
    <row r="67" spans="3:6">
      <c r="C67" s="2"/>
      <c r="D67" s="1"/>
      <c r="E67" s="1"/>
      <c r="F67" s="1"/>
    </row>
    <row r="68" spans="3:6">
      <c r="C68" s="2"/>
      <c r="D68" s="1"/>
      <c r="E68" s="1"/>
      <c r="F68" s="1"/>
    </row>
    <row r="69" spans="3:6">
      <c r="C69" s="2"/>
      <c r="D69" s="1"/>
      <c r="E69" s="1"/>
      <c r="F69" s="1"/>
    </row>
    <row r="70" spans="3:6">
      <c r="C70" s="2"/>
      <c r="D70" s="1"/>
      <c r="E70" s="1"/>
      <c r="F70" s="1"/>
    </row>
    <row r="71" spans="3:6">
      <c r="C71" s="2"/>
      <c r="D71" s="1"/>
      <c r="E71" s="1"/>
      <c r="F71" s="1"/>
    </row>
    <row r="72" spans="3:6">
      <c r="C72" s="2"/>
      <c r="D72" s="1"/>
      <c r="E72" s="1"/>
      <c r="F72" s="1"/>
    </row>
    <row r="73" spans="3:6">
      <c r="C73" s="2"/>
      <c r="D73" s="1"/>
      <c r="E73" s="1"/>
      <c r="F73" s="1"/>
    </row>
    <row r="74" spans="3:6">
      <c r="C74" s="2"/>
      <c r="D74" s="1"/>
      <c r="E74" s="1"/>
      <c r="F74" s="1"/>
    </row>
    <row r="75" spans="3:6">
      <c r="C75" s="2"/>
      <c r="D75" s="1"/>
      <c r="E75" s="1"/>
      <c r="F75" s="1"/>
    </row>
  </sheetData>
  <mergeCells count="1">
    <mergeCell ref="B2:F2"/>
  </mergeCells>
  <pageMargins left="0.7" right="0.7" top="0.75" bottom="0.75" header="0.3" footer="0.3"/>
  <pageSetup paperSize="9" orientation="portrait" r:id="rId1"/>
  <customProperties>
    <customPr name="_pios_id" r:id="rId2"/>
  </customProperties>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36c82ce-0846-43f4-af18-96d84370e2df" xsi:nil="true"/>
    <lcf76f155ced4ddcb4097134ff3c332f xmlns="160c9592-2faf-4502-904a-c9bdba900840">
      <Terms xmlns="http://schemas.microsoft.com/office/infopath/2007/PartnerControls"/>
    </lcf76f155ced4ddcb4097134ff3c332f>
    <SharedWithUsers xmlns="b36c82ce-0846-43f4-af18-96d84370e2df">
      <UserInfo>
        <DisplayName/>
        <AccountId xsi:nil="true"/>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2BDE4937BAF6848A454D88F2D154DB5" ma:contentTypeVersion="16" ma:contentTypeDescription="Create a new document." ma:contentTypeScope="" ma:versionID="bbe0e4b8448202c7c0c1b73d96da77b5">
  <xsd:schema xmlns:xsd="http://www.w3.org/2001/XMLSchema" xmlns:xs="http://www.w3.org/2001/XMLSchema" xmlns:p="http://schemas.microsoft.com/office/2006/metadata/properties" xmlns:ns2="160c9592-2faf-4502-904a-c9bdba900840" xmlns:ns3="b36c82ce-0846-43f4-af18-96d84370e2df" targetNamespace="http://schemas.microsoft.com/office/2006/metadata/properties" ma:root="true" ma:fieldsID="a8fa55da94f6f76a2401be5ef4b3a7ac" ns2:_="" ns3:_="">
    <xsd:import namespace="160c9592-2faf-4502-904a-c9bdba900840"/>
    <xsd:import namespace="b36c82ce-0846-43f4-af18-96d84370e2d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0c9592-2faf-4502-904a-c9bdba9008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cf51148-d4f0-467b-8af6-adc5aad1480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36c82ce-0846-43f4-af18-96d84370e2d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5d3a33f-e24a-4a54-9bee-1be944ebf470}" ma:internalName="TaxCatchAll" ma:showField="CatchAllData" ma:web="b36c82ce-0846-43f4-af18-96d84370e2df">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AD435FC-91DF-4648-BE42-8B35D9301CED}"/>
</file>

<file path=customXml/itemProps2.xml><?xml version="1.0" encoding="utf-8"?>
<ds:datastoreItem xmlns:ds="http://schemas.openxmlformats.org/officeDocument/2006/customXml" ds:itemID="{736600E2-65E0-42AA-96C8-3B9E3C9D5D31}"/>
</file>

<file path=customXml/itemProps3.xml><?xml version="1.0" encoding="utf-8"?>
<ds:datastoreItem xmlns:ds="http://schemas.openxmlformats.org/officeDocument/2006/customXml" ds:itemID="{987C88F5-70D4-4DF0-971D-84DD7A642A96}"/>
</file>

<file path=docProps/app.xml><?xml version="1.0" encoding="utf-8"?>
<Properties xmlns="http://schemas.openxmlformats.org/officeDocument/2006/extended-properties" xmlns:vt="http://schemas.openxmlformats.org/officeDocument/2006/docPropsVTypes">
  <Application>Microsoft Excel Online</Application>
  <Manager/>
  <Company>Arla Foods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HAHAN</dc:creator>
  <cp:keywords/>
  <dc:description/>
  <cp:lastModifiedBy>Rasmus Meier Petersen</cp:lastModifiedBy>
  <cp:revision/>
  <dcterms:created xsi:type="dcterms:W3CDTF">2013-10-23T09:58:46Z</dcterms:created>
  <dcterms:modified xsi:type="dcterms:W3CDTF">2025-12-01T12:55:37Z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0x01010052BDE4937BAF6848A454D88F2D154DB5</vt:lpwstr>
  </property>
  <property fmtid="{D5CDD505-2E9C-101B-9397-08002B2CF9AE}" pid="3" name="SpbOrganisation">
    <vt:lpwstr/>
  </property>
  <property fmtid="{D5CDD505-2E9C-101B-9397-08002B2CF9AE}" pid="4" name="TaxKeyword">
    <vt:lpwstr/>
  </property>
  <property fmtid="{D5CDD505-2E9C-101B-9397-08002B2CF9AE}" pid="5" name="Order">
    <vt:r8>1800</vt:r8>
  </property>
  <property fmtid="{D5CDD505-2E9C-101B-9397-08002B2CF9AE}" pid="6" name="xd_Signature">
    <vt:bool>false</vt:bool>
  </property>
  <property fmtid="{D5CDD505-2E9C-101B-9397-08002B2CF9AE}" pid="7" name="xd_ProgID">
    <vt:lpwstr/>
  </property>
  <property fmtid="{D5CDD505-2E9C-101B-9397-08002B2CF9AE}" pid="8" name="ComplianceAssetId">
    <vt:lpwstr/>
  </property>
  <property fmtid="{D5CDD505-2E9C-101B-9397-08002B2CF9AE}" pid="9" name="TemplateUrl">
    <vt:lpwstr/>
  </property>
  <property fmtid="{D5CDD505-2E9C-101B-9397-08002B2CF9AE}" pid="10" name="CustomUiType">
    <vt:lpwstr>2</vt:lpwstr>
  </property>
  <property fmtid="{D5CDD505-2E9C-101B-9397-08002B2CF9AE}" pid="11" name="MediaServiceImageTags">
    <vt:lpwstr/>
  </property>
  <property fmtid="{D5CDD505-2E9C-101B-9397-08002B2CF9AE}" pid="12" name="MSIP_Label_6f1dfa39-20e6-46a0-a362-a00ad8b9b419_Enabled">
    <vt:lpwstr>true</vt:lpwstr>
  </property>
  <property fmtid="{D5CDD505-2E9C-101B-9397-08002B2CF9AE}" pid="13" name="MSIP_Label_6f1dfa39-20e6-46a0-a362-a00ad8b9b419_SetDate">
    <vt:lpwstr>2024-07-24T15:12:25Z</vt:lpwstr>
  </property>
  <property fmtid="{D5CDD505-2E9C-101B-9397-08002B2CF9AE}" pid="14" name="MSIP_Label_6f1dfa39-20e6-46a0-a362-a00ad8b9b419_Method">
    <vt:lpwstr>Standard</vt:lpwstr>
  </property>
  <property fmtid="{D5CDD505-2E9C-101B-9397-08002B2CF9AE}" pid="15" name="MSIP_Label_6f1dfa39-20e6-46a0-a362-a00ad8b9b419_Name">
    <vt:lpwstr>Arla Internal</vt:lpwstr>
  </property>
  <property fmtid="{D5CDD505-2E9C-101B-9397-08002B2CF9AE}" pid="16" name="MSIP_Label_6f1dfa39-20e6-46a0-a362-a00ad8b9b419_SiteId">
    <vt:lpwstr>f10e34fe-8994-4b52-a7da-4f7aa9068ca0</vt:lpwstr>
  </property>
  <property fmtid="{D5CDD505-2E9C-101B-9397-08002B2CF9AE}" pid="17" name="MSIP_Label_6f1dfa39-20e6-46a0-a362-a00ad8b9b419_ActionId">
    <vt:lpwstr>efafbc71-bab4-4242-9d30-3fe822f89508</vt:lpwstr>
  </property>
  <property fmtid="{D5CDD505-2E9C-101B-9397-08002B2CF9AE}" pid="18" name="MSIP_Label_6f1dfa39-20e6-46a0-a362-a00ad8b9b419_ContentBits">
    <vt:lpwstr>0</vt:lpwstr>
  </property>
  <property fmtid="{D5CDD505-2E9C-101B-9397-08002B2CF9AE}" pid="19" name="_ExtendedDescription">
    <vt:lpwstr/>
  </property>
  <property fmtid="{D5CDD505-2E9C-101B-9397-08002B2CF9AE}" pid="20" name="TriggerFlowInfo">
    <vt:lpwstr/>
  </property>
</Properties>
</file>